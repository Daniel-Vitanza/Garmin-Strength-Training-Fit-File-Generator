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codeName="ThisWorkbook" defaultThemeVersion="166925"/>
  <mc:AlternateContent xmlns:mc="http://schemas.openxmlformats.org/markup-compatibility/2006">
    <mc:Choice Requires="x15">
      <x15ac:absPath xmlns:x15ac="http://schemas.microsoft.com/office/spreadsheetml/2010/11/ac" url="D:\Desktop\Strength Training Fit File Generator\"/>
    </mc:Choice>
  </mc:AlternateContent>
  <xr:revisionPtr revIDLastSave="0" documentId="13_ncr:1_{FDE099ED-D053-4466-9BDD-513C1C6C63C9}" xr6:coauthVersionLast="47" xr6:coauthVersionMax="47" xr10:uidLastSave="{00000000-0000-0000-0000-000000000000}"/>
  <bookViews>
    <workbookView xWindow="-120" yWindow="-120" windowWidth="24240" windowHeight="13140" xr2:uid="{00000000-000D-0000-FFFF-FFFF00000000}"/>
  </bookViews>
  <sheets>
    <sheet name="Data Input" sheetId="2" r:id="rId1"/>
    <sheet name="HeaderFooter Tables" sheetId="5" r:id="rId2"/>
    <sheet name="Output" sheetId="4" r:id="rId3"/>
    <sheet name="Reference Lists" sheetId="3" r:id="rId4"/>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 i="2" l="1"/>
  <c r="H8" i="2" l="1"/>
  <c r="I8" i="2"/>
  <c r="J8" i="2"/>
  <c r="N8" i="2"/>
  <c r="O8" i="2" s="1"/>
  <c r="R8" i="2"/>
  <c r="S8" i="2"/>
  <c r="AA8" i="2"/>
  <c r="Z8" i="2" s="1"/>
  <c r="AD8" i="2"/>
  <c r="AE8" i="2" s="1"/>
  <c r="AG8" i="2"/>
  <c r="AF8" i="2" s="1"/>
  <c r="AJ8" i="2"/>
  <c r="AI8" i="2" s="1"/>
  <c r="AL8" i="2"/>
  <c r="AP8" i="2" s="1"/>
  <c r="AQ8" i="2" s="1"/>
  <c r="AM8" i="2"/>
  <c r="AN8" i="2" s="1"/>
  <c r="AS8" i="2"/>
  <c r="AT8" i="2" s="1"/>
  <c r="AV8" i="2"/>
  <c r="AW8" i="2" s="1"/>
  <c r="AY8" i="2"/>
  <c r="AZ8" i="2" s="1"/>
  <c r="H9" i="2"/>
  <c r="I9" i="2"/>
  <c r="J9" i="2"/>
  <c r="N9" i="2"/>
  <c r="O9" i="2" s="1"/>
  <c r="P9" i="2" s="1"/>
  <c r="R9" i="2"/>
  <c r="S9" i="2"/>
  <c r="AA9" i="2"/>
  <c r="AD9" i="2"/>
  <c r="AE9" i="2" s="1"/>
  <c r="AG9" i="2"/>
  <c r="AF9" i="2" s="1"/>
  <c r="AJ9" i="2"/>
  <c r="AL9" i="2"/>
  <c r="AM9" i="2"/>
  <c r="AN9" i="2" s="1"/>
  <c r="AS9" i="2"/>
  <c r="AT9" i="2" s="1"/>
  <c r="AV9" i="2"/>
  <c r="AW9" i="2" s="1"/>
  <c r="AY9" i="2"/>
  <c r="AZ9" i="2" s="1"/>
  <c r="H10" i="2"/>
  <c r="I10" i="2"/>
  <c r="J10" i="2"/>
  <c r="N10" i="2"/>
  <c r="O10" i="2" s="1"/>
  <c r="P10" i="2" s="1"/>
  <c r="R10" i="2"/>
  <c r="S10" i="2" s="1"/>
  <c r="AA10" i="2"/>
  <c r="AD10" i="2"/>
  <c r="AE10" i="2" s="1"/>
  <c r="AG10" i="2"/>
  <c r="AH10" i="2" s="1"/>
  <c r="AJ10" i="2"/>
  <c r="AL10" i="2"/>
  <c r="AO10" i="2" s="1"/>
  <c r="AM10" i="2"/>
  <c r="AN10" i="2" s="1"/>
  <c r="AS10" i="2"/>
  <c r="AT10" i="2" s="1"/>
  <c r="AV10" i="2"/>
  <c r="AW10" i="2" s="1"/>
  <c r="AY10" i="2"/>
  <c r="AZ10" i="2" s="1"/>
  <c r="H11" i="2"/>
  <c r="I11" i="2"/>
  <c r="J11" i="2"/>
  <c r="N11" i="2"/>
  <c r="O11" i="2" s="1"/>
  <c r="P11" i="2" s="1"/>
  <c r="R11" i="2"/>
  <c r="S11" i="2"/>
  <c r="AA11" i="2"/>
  <c r="AD11" i="2"/>
  <c r="AE11" i="2" s="1"/>
  <c r="AG11" i="2"/>
  <c r="AF11" i="2" s="1"/>
  <c r="AJ11" i="2"/>
  <c r="AL11" i="2"/>
  <c r="AO11" i="2" s="1"/>
  <c r="AM11" i="2"/>
  <c r="AN11" i="2" s="1"/>
  <c r="AS11" i="2"/>
  <c r="AT11" i="2" s="1"/>
  <c r="AV11" i="2"/>
  <c r="AW11" i="2" s="1"/>
  <c r="AY11" i="2"/>
  <c r="AZ11" i="2" s="1"/>
  <c r="H12" i="2"/>
  <c r="I12" i="2"/>
  <c r="J12" i="2"/>
  <c r="N12" i="2"/>
  <c r="O12" i="2" s="1"/>
  <c r="P12" i="2" s="1"/>
  <c r="R12" i="2"/>
  <c r="S12" i="2" s="1"/>
  <c r="AA12" i="2"/>
  <c r="AD12" i="2"/>
  <c r="AE12" i="2" s="1"/>
  <c r="AG12" i="2"/>
  <c r="AH12" i="2" s="1"/>
  <c r="AJ12" i="2"/>
  <c r="AL12" i="2"/>
  <c r="AO12" i="2" s="1"/>
  <c r="AM12" i="2"/>
  <c r="AN12" i="2" s="1"/>
  <c r="AS12" i="2"/>
  <c r="AT12" i="2" s="1"/>
  <c r="AV12" i="2"/>
  <c r="AW12" i="2" s="1"/>
  <c r="AY12" i="2"/>
  <c r="AZ12" i="2" s="1"/>
  <c r="H13" i="2"/>
  <c r="I13" i="2"/>
  <c r="J13" i="2"/>
  <c r="N13" i="2"/>
  <c r="O13" i="2" s="1"/>
  <c r="P13" i="2" s="1"/>
  <c r="R13" i="2"/>
  <c r="S13" i="2" s="1"/>
  <c r="AA13" i="2"/>
  <c r="AD13" i="2"/>
  <c r="AE13" i="2" s="1"/>
  <c r="AG13" i="2"/>
  <c r="AF13" i="2" s="1"/>
  <c r="AJ13" i="2"/>
  <c r="AL13" i="2"/>
  <c r="AM13" i="2"/>
  <c r="AN13" i="2" s="1"/>
  <c r="AS13" i="2"/>
  <c r="AT13" i="2" s="1"/>
  <c r="AV13" i="2"/>
  <c r="AW13" i="2" s="1"/>
  <c r="AY13" i="2"/>
  <c r="AZ13" i="2" s="1"/>
  <c r="H14" i="2"/>
  <c r="I14" i="2"/>
  <c r="J14" i="2"/>
  <c r="N14" i="2"/>
  <c r="O14" i="2" s="1"/>
  <c r="P14" i="2" s="1"/>
  <c r="R14" i="2"/>
  <c r="S14" i="2" s="1"/>
  <c r="AA14" i="2"/>
  <c r="AD14" i="2"/>
  <c r="AE14" i="2" s="1"/>
  <c r="AG14" i="2"/>
  <c r="AH14" i="2" s="1"/>
  <c r="AJ14" i="2"/>
  <c r="AL14" i="2"/>
  <c r="AO14" i="2" s="1"/>
  <c r="AM14" i="2"/>
  <c r="AN14" i="2" s="1"/>
  <c r="AS14" i="2"/>
  <c r="AT14" i="2" s="1"/>
  <c r="AV14" i="2"/>
  <c r="AW14" i="2" s="1"/>
  <c r="AY14" i="2"/>
  <c r="AZ14" i="2" s="1"/>
  <c r="H15" i="2"/>
  <c r="I15" i="2"/>
  <c r="J15" i="2"/>
  <c r="N15" i="2"/>
  <c r="O15" i="2" s="1"/>
  <c r="P15" i="2" s="1"/>
  <c r="R15" i="2"/>
  <c r="S15" i="2" s="1"/>
  <c r="AA15" i="2"/>
  <c r="AD15" i="2"/>
  <c r="AE15" i="2" s="1"/>
  <c r="AG15" i="2"/>
  <c r="AJ15" i="2"/>
  <c r="AL15" i="2"/>
  <c r="AM15" i="2"/>
  <c r="AN15" i="2" s="1"/>
  <c r="AS15" i="2"/>
  <c r="AT15" i="2" s="1"/>
  <c r="AV15" i="2"/>
  <c r="AW15" i="2" s="1"/>
  <c r="AY15" i="2"/>
  <c r="AZ15" i="2" s="1"/>
  <c r="H16" i="2"/>
  <c r="I16" i="2"/>
  <c r="J16" i="2"/>
  <c r="N16" i="2"/>
  <c r="O16" i="2" s="1"/>
  <c r="P16" i="2"/>
  <c r="R16" i="2"/>
  <c r="S16" i="2" s="1"/>
  <c r="AA16" i="2"/>
  <c r="Z16" i="2" s="1"/>
  <c r="AD16" i="2"/>
  <c r="AG16" i="2"/>
  <c r="AF16" i="2" s="1"/>
  <c r="AJ16" i="2"/>
  <c r="AL16" i="2"/>
  <c r="AO16" i="2" s="1"/>
  <c r="AM16" i="2"/>
  <c r="AN16" i="2" s="1"/>
  <c r="AS16" i="2"/>
  <c r="AT16" i="2" s="1"/>
  <c r="AV16" i="2"/>
  <c r="AW16" i="2" s="1"/>
  <c r="AY16" i="2"/>
  <c r="AZ16" i="2" s="1"/>
  <c r="H17" i="2"/>
  <c r="I17" i="2"/>
  <c r="J17" i="2"/>
  <c r="N17" i="2"/>
  <c r="O17" i="2" s="1"/>
  <c r="P17" i="2" s="1"/>
  <c r="R17" i="2"/>
  <c r="S17" i="2" s="1"/>
  <c r="AA17" i="2"/>
  <c r="AD17" i="2"/>
  <c r="AE17" i="2" s="1"/>
  <c r="AG17" i="2"/>
  <c r="AJ17" i="2"/>
  <c r="AL17" i="2"/>
  <c r="AO17" i="2" s="1"/>
  <c r="AM17" i="2"/>
  <c r="AN17" i="2" s="1"/>
  <c r="AS17" i="2"/>
  <c r="AT17" i="2" s="1"/>
  <c r="AV17" i="2"/>
  <c r="AW17" i="2" s="1"/>
  <c r="AY17" i="2"/>
  <c r="AZ17" i="2" s="1"/>
  <c r="H18" i="2"/>
  <c r="I18" i="2"/>
  <c r="J18" i="2"/>
  <c r="N18" i="2"/>
  <c r="O18" i="2" s="1"/>
  <c r="P18" i="2" s="1"/>
  <c r="R18" i="2"/>
  <c r="S18" i="2" s="1"/>
  <c r="AA18" i="2"/>
  <c r="Z18" i="2" s="1"/>
  <c r="AB18" i="2"/>
  <c r="AD18" i="2"/>
  <c r="AE18" i="2" s="1"/>
  <c r="AG18" i="2"/>
  <c r="AF18" i="2" s="1"/>
  <c r="AJ18" i="2"/>
  <c r="AL18" i="2"/>
  <c r="AO18" i="2" s="1"/>
  <c r="AM18" i="2"/>
  <c r="AN18" i="2" s="1"/>
  <c r="AS18" i="2"/>
  <c r="AT18" i="2" s="1"/>
  <c r="AV18" i="2"/>
  <c r="AW18" i="2" s="1"/>
  <c r="AY18" i="2"/>
  <c r="AZ18" i="2" s="1"/>
  <c r="H19" i="2"/>
  <c r="I19" i="2"/>
  <c r="J19" i="2"/>
  <c r="N19" i="2"/>
  <c r="R19" i="2"/>
  <c r="S19" i="2" s="1"/>
  <c r="AA19" i="2"/>
  <c r="AD19" i="2"/>
  <c r="AE19" i="2" s="1"/>
  <c r="AG19" i="2"/>
  <c r="AJ19" i="2"/>
  <c r="AI19" i="2" s="1"/>
  <c r="AL19" i="2"/>
  <c r="AO19" i="2" s="1"/>
  <c r="AM19" i="2"/>
  <c r="AN19" i="2" s="1"/>
  <c r="AS19" i="2"/>
  <c r="AT19" i="2" s="1"/>
  <c r="AV19" i="2"/>
  <c r="AW19" i="2" s="1"/>
  <c r="AY19" i="2"/>
  <c r="AZ19" i="2" s="1"/>
  <c r="H20" i="2"/>
  <c r="I20" i="2"/>
  <c r="J20" i="2"/>
  <c r="N20" i="2"/>
  <c r="O20" i="2" s="1"/>
  <c r="P20" i="2" s="1"/>
  <c r="R20" i="2"/>
  <c r="S20" i="2" s="1"/>
  <c r="AA20" i="2"/>
  <c r="Z20" i="2" s="1"/>
  <c r="AD20" i="2"/>
  <c r="AE20" i="2" s="1"/>
  <c r="AG20" i="2"/>
  <c r="AF20" i="2" s="1"/>
  <c r="AJ20" i="2"/>
  <c r="AL20" i="2"/>
  <c r="AO20" i="2" s="1"/>
  <c r="AM20" i="2"/>
  <c r="AN20" i="2" s="1"/>
  <c r="AS20" i="2"/>
  <c r="AT20" i="2" s="1"/>
  <c r="AV20" i="2"/>
  <c r="AW20" i="2" s="1"/>
  <c r="AY20" i="2"/>
  <c r="AZ20" i="2" s="1"/>
  <c r="H21" i="2"/>
  <c r="I21" i="2"/>
  <c r="J21" i="2"/>
  <c r="N21" i="2"/>
  <c r="R21" i="2"/>
  <c r="S21" i="2" s="1"/>
  <c r="AA21" i="2"/>
  <c r="AD21" i="2"/>
  <c r="AE21" i="2" s="1"/>
  <c r="AG21" i="2"/>
  <c r="AJ21" i="2"/>
  <c r="AI21" i="2" s="1"/>
  <c r="AL21" i="2"/>
  <c r="AM21" i="2"/>
  <c r="AN21" i="2" s="1"/>
  <c r="AS21" i="2"/>
  <c r="AT21" i="2" s="1"/>
  <c r="AV21" i="2"/>
  <c r="AW21" i="2" s="1"/>
  <c r="AY21" i="2"/>
  <c r="AZ21" i="2" s="1"/>
  <c r="H22" i="2"/>
  <c r="I22" i="2"/>
  <c r="J22" i="2"/>
  <c r="N22" i="2"/>
  <c r="O22" i="2" s="1"/>
  <c r="P22" i="2" s="1"/>
  <c r="R22" i="2"/>
  <c r="S22" i="2" s="1"/>
  <c r="AA22" i="2"/>
  <c r="Z22" i="2" s="1"/>
  <c r="AD22" i="2"/>
  <c r="AE22" i="2" s="1"/>
  <c r="AG22" i="2"/>
  <c r="AJ22" i="2"/>
  <c r="AK22" i="2" s="1"/>
  <c r="AL22" i="2"/>
  <c r="AO22" i="2" s="1"/>
  <c r="AM22" i="2"/>
  <c r="AN22" i="2" s="1"/>
  <c r="AS22" i="2"/>
  <c r="AT22" i="2" s="1"/>
  <c r="AV22" i="2"/>
  <c r="AW22" i="2" s="1"/>
  <c r="AY22" i="2"/>
  <c r="AZ22" i="2" s="1"/>
  <c r="H23" i="2"/>
  <c r="I23" i="2"/>
  <c r="J23" i="2"/>
  <c r="N23" i="2"/>
  <c r="O23" i="2" s="1"/>
  <c r="P23" i="2" s="1"/>
  <c r="R23" i="2"/>
  <c r="S23" i="2" s="1"/>
  <c r="AA23" i="2"/>
  <c r="Z23" i="2" s="1"/>
  <c r="AB23" i="2"/>
  <c r="AD23" i="2"/>
  <c r="AE23" i="2" s="1"/>
  <c r="AG23" i="2"/>
  <c r="AJ23" i="2"/>
  <c r="AK23" i="2" s="1"/>
  <c r="AL23" i="2"/>
  <c r="AO23" i="2" s="1"/>
  <c r="AM23" i="2"/>
  <c r="AN23" i="2" s="1"/>
  <c r="AS23" i="2"/>
  <c r="AT23" i="2" s="1"/>
  <c r="AV23" i="2"/>
  <c r="AW23" i="2"/>
  <c r="AY23" i="2"/>
  <c r="AZ23" i="2" s="1"/>
  <c r="H24" i="2"/>
  <c r="I24" i="2"/>
  <c r="J24" i="2"/>
  <c r="N24" i="2"/>
  <c r="O24" i="2" s="1"/>
  <c r="P24" i="2" s="1"/>
  <c r="R24" i="2"/>
  <c r="S24" i="2" s="1"/>
  <c r="AA24" i="2"/>
  <c r="AB24" i="2" s="1"/>
  <c r="AD24" i="2"/>
  <c r="AE24" i="2" s="1"/>
  <c r="AG24" i="2"/>
  <c r="AJ24" i="2"/>
  <c r="AI24" i="2" s="1"/>
  <c r="AL24" i="2"/>
  <c r="AO24" i="2" s="1"/>
  <c r="AM24" i="2"/>
  <c r="AN24" i="2" s="1"/>
  <c r="AS24" i="2"/>
  <c r="AT24" i="2" s="1"/>
  <c r="AV24" i="2"/>
  <c r="AW24" i="2" s="1"/>
  <c r="AY24" i="2"/>
  <c r="AZ24" i="2" s="1"/>
  <c r="H25" i="2"/>
  <c r="I25" i="2"/>
  <c r="J25" i="2"/>
  <c r="N25" i="2"/>
  <c r="O25" i="2" s="1"/>
  <c r="P25" i="2" s="1"/>
  <c r="R25" i="2"/>
  <c r="S25" i="2" s="1"/>
  <c r="AA25" i="2"/>
  <c r="AB25" i="2" s="1"/>
  <c r="AD25" i="2"/>
  <c r="AE25" i="2" s="1"/>
  <c r="AG25" i="2"/>
  <c r="AJ25" i="2"/>
  <c r="AK25" i="2" s="1"/>
  <c r="AL25" i="2"/>
  <c r="AO25" i="2" s="1"/>
  <c r="AM25" i="2"/>
  <c r="AN25" i="2" s="1"/>
  <c r="AS25" i="2"/>
  <c r="AT25" i="2" s="1"/>
  <c r="AV25" i="2"/>
  <c r="AW25" i="2" s="1"/>
  <c r="AY25" i="2"/>
  <c r="AZ25" i="2" s="1"/>
  <c r="H26" i="2"/>
  <c r="I26" i="2"/>
  <c r="J26" i="2"/>
  <c r="N26" i="2"/>
  <c r="O26" i="2" s="1"/>
  <c r="P26" i="2" s="1"/>
  <c r="R26" i="2"/>
  <c r="S26" i="2" s="1"/>
  <c r="AA26" i="2"/>
  <c r="Z26" i="2" s="1"/>
  <c r="AD26" i="2"/>
  <c r="AE26" i="2" s="1"/>
  <c r="AG26" i="2"/>
  <c r="AJ26" i="2"/>
  <c r="AK26" i="2" s="1"/>
  <c r="AL26" i="2"/>
  <c r="AO26" i="2" s="1"/>
  <c r="AM26" i="2"/>
  <c r="AN26" i="2" s="1"/>
  <c r="AS26" i="2"/>
  <c r="AT26" i="2" s="1"/>
  <c r="AV26" i="2"/>
  <c r="AW26" i="2" s="1"/>
  <c r="AY26" i="2"/>
  <c r="AZ26" i="2" s="1"/>
  <c r="H27" i="2"/>
  <c r="I27" i="2"/>
  <c r="J27" i="2"/>
  <c r="N27" i="2"/>
  <c r="O27" i="2" s="1"/>
  <c r="P27" i="2" s="1"/>
  <c r="R27" i="2"/>
  <c r="S27" i="2" s="1"/>
  <c r="AA27" i="2"/>
  <c r="Z27" i="2" s="1"/>
  <c r="AD27" i="2"/>
  <c r="AE27" i="2" s="1"/>
  <c r="AG27" i="2"/>
  <c r="AJ27" i="2"/>
  <c r="AK27" i="2" s="1"/>
  <c r="AL27" i="2"/>
  <c r="AO27" i="2" s="1"/>
  <c r="AM27" i="2"/>
  <c r="AN27" i="2" s="1"/>
  <c r="AS27" i="2"/>
  <c r="AT27" i="2" s="1"/>
  <c r="AV27" i="2"/>
  <c r="AW27" i="2" s="1"/>
  <c r="AY27" i="2"/>
  <c r="AZ27" i="2" s="1"/>
  <c r="H28" i="2"/>
  <c r="I28" i="2"/>
  <c r="J28" i="2"/>
  <c r="N28" i="2"/>
  <c r="O28" i="2" s="1"/>
  <c r="P28" i="2" s="1"/>
  <c r="R28" i="2"/>
  <c r="S28" i="2" s="1"/>
  <c r="AA28" i="2"/>
  <c r="AB28" i="2" s="1"/>
  <c r="AD28" i="2"/>
  <c r="AE28" i="2" s="1"/>
  <c r="AG28" i="2"/>
  <c r="AJ28" i="2"/>
  <c r="AI28" i="2" s="1"/>
  <c r="AL28" i="2"/>
  <c r="AO28" i="2" s="1"/>
  <c r="AM28" i="2"/>
  <c r="AN28" i="2" s="1"/>
  <c r="AS28" i="2"/>
  <c r="AT28" i="2"/>
  <c r="AV28" i="2"/>
  <c r="AW28" i="2" s="1"/>
  <c r="AY28" i="2"/>
  <c r="AZ28" i="2" s="1"/>
  <c r="H29" i="2"/>
  <c r="I29" i="2"/>
  <c r="J29" i="2"/>
  <c r="N29" i="2"/>
  <c r="O29" i="2" s="1"/>
  <c r="P29" i="2" s="1"/>
  <c r="R29" i="2"/>
  <c r="S29" i="2" s="1"/>
  <c r="AA29" i="2"/>
  <c r="AB29" i="2" s="1"/>
  <c r="AD29" i="2"/>
  <c r="AE29" i="2" s="1"/>
  <c r="AG29" i="2"/>
  <c r="AJ29" i="2"/>
  <c r="AK29" i="2" s="1"/>
  <c r="AL29" i="2"/>
  <c r="AO29" i="2" s="1"/>
  <c r="AM29" i="2"/>
  <c r="AN29" i="2" s="1"/>
  <c r="AS29" i="2"/>
  <c r="AT29" i="2" s="1"/>
  <c r="AV29" i="2"/>
  <c r="AW29" i="2" s="1"/>
  <c r="AY29" i="2"/>
  <c r="AZ29" i="2"/>
  <c r="H30" i="2"/>
  <c r="I30" i="2"/>
  <c r="J30" i="2"/>
  <c r="N30" i="2"/>
  <c r="O30" i="2" s="1"/>
  <c r="P30" i="2" s="1"/>
  <c r="R30" i="2"/>
  <c r="S30" i="2" s="1"/>
  <c r="AA30" i="2"/>
  <c r="Z30" i="2" s="1"/>
  <c r="AD30" i="2"/>
  <c r="AE30" i="2" s="1"/>
  <c r="AG30" i="2"/>
  <c r="AJ30" i="2"/>
  <c r="AK30" i="2" s="1"/>
  <c r="AL30" i="2"/>
  <c r="AO30" i="2" s="1"/>
  <c r="AM30" i="2"/>
  <c r="AN30" i="2" s="1"/>
  <c r="AS30" i="2"/>
  <c r="AT30" i="2" s="1"/>
  <c r="AV30" i="2"/>
  <c r="AW30" i="2"/>
  <c r="AY30" i="2"/>
  <c r="AZ30" i="2" s="1"/>
  <c r="H31" i="2"/>
  <c r="I31" i="2"/>
  <c r="J31" i="2"/>
  <c r="N31" i="2"/>
  <c r="O31" i="2" s="1"/>
  <c r="P31" i="2" s="1"/>
  <c r="R31" i="2"/>
  <c r="S31" i="2" s="1"/>
  <c r="AA31" i="2"/>
  <c r="AB31" i="2" s="1"/>
  <c r="AD31" i="2"/>
  <c r="AE31" i="2" s="1"/>
  <c r="AG31" i="2"/>
  <c r="AJ31" i="2"/>
  <c r="AK31" i="2" s="1"/>
  <c r="AL31" i="2"/>
  <c r="AO31" i="2" s="1"/>
  <c r="AM31" i="2"/>
  <c r="AN31" i="2" s="1"/>
  <c r="AS31" i="2"/>
  <c r="AT31" i="2" s="1"/>
  <c r="AV31" i="2"/>
  <c r="AW31" i="2" s="1"/>
  <c r="AY31" i="2"/>
  <c r="AZ31" i="2" s="1"/>
  <c r="H32" i="2"/>
  <c r="I32" i="2"/>
  <c r="J32" i="2"/>
  <c r="N32" i="2"/>
  <c r="O32" i="2" s="1"/>
  <c r="P32" i="2" s="1"/>
  <c r="R32" i="2"/>
  <c r="S32" i="2" s="1"/>
  <c r="Z32" i="2"/>
  <c r="AA32" i="2"/>
  <c r="AB32" i="2" s="1"/>
  <c r="AD32" i="2"/>
  <c r="AE32" i="2" s="1"/>
  <c r="AG32" i="2"/>
  <c r="AJ32" i="2"/>
  <c r="AI32" i="2" s="1"/>
  <c r="AL32" i="2"/>
  <c r="AO32" i="2" s="1"/>
  <c r="AM32" i="2"/>
  <c r="AN32" i="2" s="1"/>
  <c r="AS32" i="2"/>
  <c r="AT32" i="2" s="1"/>
  <c r="AV32" i="2"/>
  <c r="AW32" i="2" s="1"/>
  <c r="AY32" i="2"/>
  <c r="AZ32" i="2" s="1"/>
  <c r="H33" i="2"/>
  <c r="I33" i="2"/>
  <c r="J33" i="2"/>
  <c r="N33" i="2"/>
  <c r="O33" i="2" s="1"/>
  <c r="P33" i="2" s="1"/>
  <c r="R33" i="2"/>
  <c r="S33" i="2" s="1"/>
  <c r="AA33" i="2"/>
  <c r="AB33" i="2" s="1"/>
  <c r="AD33" i="2"/>
  <c r="AE33" i="2" s="1"/>
  <c r="AG33" i="2"/>
  <c r="AJ33" i="2"/>
  <c r="AI33" i="2" s="1"/>
  <c r="AL33" i="2"/>
  <c r="AO33" i="2" s="1"/>
  <c r="AM33" i="2"/>
  <c r="AN33" i="2" s="1"/>
  <c r="AS33" i="2"/>
  <c r="AT33" i="2"/>
  <c r="AV33" i="2"/>
  <c r="AW33" i="2" s="1"/>
  <c r="AY33" i="2"/>
  <c r="AZ33" i="2"/>
  <c r="H34" i="2"/>
  <c r="I34" i="2"/>
  <c r="J34" i="2"/>
  <c r="N34" i="2"/>
  <c r="O34" i="2"/>
  <c r="P34" i="2" s="1"/>
  <c r="R34" i="2"/>
  <c r="S34" i="2" s="1"/>
  <c r="AA34" i="2"/>
  <c r="Z34" i="2" s="1"/>
  <c r="AD34" i="2"/>
  <c r="AE34" i="2" s="1"/>
  <c r="AG34" i="2"/>
  <c r="AJ34" i="2"/>
  <c r="AK34" i="2" s="1"/>
  <c r="AL34" i="2"/>
  <c r="AO34" i="2" s="1"/>
  <c r="AM34" i="2"/>
  <c r="AN34" i="2" s="1"/>
  <c r="AS34" i="2"/>
  <c r="AT34" i="2" s="1"/>
  <c r="AV34" i="2"/>
  <c r="AW34" i="2" s="1"/>
  <c r="AY34" i="2"/>
  <c r="AZ34" i="2" s="1"/>
  <c r="H35" i="2"/>
  <c r="I35" i="2"/>
  <c r="J35" i="2"/>
  <c r="N35" i="2"/>
  <c r="O35" i="2" s="1"/>
  <c r="P35" i="2" s="1"/>
  <c r="R35" i="2"/>
  <c r="S35" i="2" s="1"/>
  <c r="AA35" i="2"/>
  <c r="AB35" i="2" s="1"/>
  <c r="AD35" i="2"/>
  <c r="AE35" i="2"/>
  <c r="AG35" i="2"/>
  <c r="AJ35" i="2"/>
  <c r="AK35" i="2" s="1"/>
  <c r="AL35" i="2"/>
  <c r="AO35" i="2" s="1"/>
  <c r="AM35" i="2"/>
  <c r="AN35" i="2" s="1"/>
  <c r="AS35" i="2"/>
  <c r="AT35" i="2"/>
  <c r="AV35" i="2"/>
  <c r="AW35" i="2" s="1"/>
  <c r="AY35" i="2"/>
  <c r="AZ35" i="2"/>
  <c r="H36" i="2"/>
  <c r="I36" i="2"/>
  <c r="J36" i="2"/>
  <c r="N36" i="2"/>
  <c r="O36" i="2" s="1"/>
  <c r="P36" i="2" s="1"/>
  <c r="R36" i="2"/>
  <c r="S36" i="2" s="1"/>
  <c r="AA36" i="2"/>
  <c r="AB36" i="2" s="1"/>
  <c r="AD36" i="2"/>
  <c r="AE36" i="2" s="1"/>
  <c r="AG36" i="2"/>
  <c r="AJ36" i="2"/>
  <c r="AI36" i="2" s="1"/>
  <c r="AL36" i="2"/>
  <c r="AO36" i="2" s="1"/>
  <c r="AM36" i="2"/>
  <c r="AN36" i="2" s="1"/>
  <c r="AS36" i="2"/>
  <c r="AT36" i="2" s="1"/>
  <c r="AV36" i="2"/>
  <c r="AW36" i="2" s="1"/>
  <c r="AY36" i="2"/>
  <c r="AZ36" i="2" s="1"/>
  <c r="H37" i="2"/>
  <c r="I37" i="2"/>
  <c r="J37" i="2"/>
  <c r="N37" i="2"/>
  <c r="O37" i="2" s="1"/>
  <c r="P37" i="2" s="1"/>
  <c r="R37" i="2"/>
  <c r="S37" i="2" s="1"/>
  <c r="AA37" i="2"/>
  <c r="AB37" i="2" s="1"/>
  <c r="AD37" i="2"/>
  <c r="AE37" i="2"/>
  <c r="AG37" i="2"/>
  <c r="AJ37" i="2"/>
  <c r="AI37" i="2" s="1"/>
  <c r="AL37" i="2"/>
  <c r="AO37" i="2" s="1"/>
  <c r="AM37" i="2"/>
  <c r="AN37" i="2" s="1"/>
  <c r="AS37" i="2"/>
  <c r="AT37" i="2"/>
  <c r="AV37" i="2"/>
  <c r="AW37" i="2" s="1"/>
  <c r="AY37" i="2"/>
  <c r="AZ37" i="2"/>
  <c r="H38" i="2"/>
  <c r="I38" i="2"/>
  <c r="J38" i="2"/>
  <c r="N38" i="2"/>
  <c r="O38" i="2" s="1"/>
  <c r="P38" i="2" s="1"/>
  <c r="R38" i="2"/>
  <c r="S38" i="2" s="1"/>
  <c r="AA38" i="2"/>
  <c r="Z38" i="2" s="1"/>
  <c r="AD38" i="2"/>
  <c r="AE38" i="2" s="1"/>
  <c r="AG38" i="2"/>
  <c r="AJ38" i="2"/>
  <c r="AK38" i="2" s="1"/>
  <c r="AL38" i="2"/>
  <c r="AO38" i="2" s="1"/>
  <c r="AM38" i="2"/>
  <c r="AN38" i="2" s="1"/>
  <c r="AS38" i="2"/>
  <c r="AT38" i="2" s="1"/>
  <c r="AV38" i="2"/>
  <c r="AW38" i="2" s="1"/>
  <c r="AY38" i="2"/>
  <c r="AZ38" i="2" s="1"/>
  <c r="H39" i="2"/>
  <c r="I39" i="2"/>
  <c r="J39" i="2"/>
  <c r="N39" i="2"/>
  <c r="O39" i="2" s="1"/>
  <c r="P39" i="2" s="1"/>
  <c r="R39" i="2"/>
  <c r="S39" i="2" s="1"/>
  <c r="AA39" i="2"/>
  <c r="AB39" i="2" s="1"/>
  <c r="AD39" i="2"/>
  <c r="AE39" i="2" s="1"/>
  <c r="AG39" i="2"/>
  <c r="AJ39" i="2"/>
  <c r="AK39" i="2" s="1"/>
  <c r="AL39" i="2"/>
  <c r="AO39" i="2" s="1"/>
  <c r="AM39" i="2"/>
  <c r="AN39" i="2" s="1"/>
  <c r="AS39" i="2"/>
  <c r="AT39" i="2" s="1"/>
  <c r="AV39" i="2"/>
  <c r="AW39" i="2"/>
  <c r="AY39" i="2"/>
  <c r="AZ39" i="2" s="1"/>
  <c r="H40" i="2"/>
  <c r="I40" i="2"/>
  <c r="J40" i="2"/>
  <c r="N40" i="2"/>
  <c r="O40" i="2" s="1"/>
  <c r="P40" i="2" s="1"/>
  <c r="R40" i="2"/>
  <c r="S40" i="2" s="1"/>
  <c r="AA40" i="2"/>
  <c r="AB40" i="2" s="1"/>
  <c r="AD40" i="2"/>
  <c r="AE40" i="2" s="1"/>
  <c r="AG40" i="2"/>
  <c r="AJ40" i="2"/>
  <c r="AI40" i="2" s="1"/>
  <c r="AL40" i="2"/>
  <c r="AO40" i="2" s="1"/>
  <c r="AM40" i="2"/>
  <c r="AN40" i="2" s="1"/>
  <c r="AS40" i="2"/>
  <c r="AT40" i="2" s="1"/>
  <c r="AV40" i="2"/>
  <c r="AW40" i="2" s="1"/>
  <c r="AY40" i="2"/>
  <c r="AZ40" i="2"/>
  <c r="H41" i="2"/>
  <c r="I41" i="2"/>
  <c r="J41" i="2"/>
  <c r="N41" i="2"/>
  <c r="O41" i="2" s="1"/>
  <c r="P41" i="2" s="1"/>
  <c r="R41" i="2"/>
  <c r="S41" i="2" s="1"/>
  <c r="AA41" i="2"/>
  <c r="AB41" i="2" s="1"/>
  <c r="AD41" i="2"/>
  <c r="AE41" i="2"/>
  <c r="AG41" i="2"/>
  <c r="AJ41" i="2"/>
  <c r="AK41" i="2" s="1"/>
  <c r="AL41" i="2"/>
  <c r="AO41" i="2" s="1"/>
  <c r="AM41" i="2"/>
  <c r="AN41" i="2" s="1"/>
  <c r="AS41" i="2"/>
  <c r="AT41" i="2" s="1"/>
  <c r="AV41" i="2"/>
  <c r="AW41" i="2" s="1"/>
  <c r="AY41" i="2"/>
  <c r="AZ41" i="2" s="1"/>
  <c r="H42" i="2"/>
  <c r="I42" i="2"/>
  <c r="J42" i="2"/>
  <c r="N42" i="2"/>
  <c r="O42" i="2"/>
  <c r="P42" i="2" s="1"/>
  <c r="R42" i="2"/>
  <c r="S42" i="2" s="1"/>
  <c r="AA42" i="2"/>
  <c r="Z42" i="2" s="1"/>
  <c r="AD42" i="2"/>
  <c r="AE42" i="2" s="1"/>
  <c r="AG42" i="2"/>
  <c r="AJ42" i="2"/>
  <c r="AK42" i="2" s="1"/>
  <c r="AL42" i="2"/>
  <c r="AO42" i="2" s="1"/>
  <c r="AM42" i="2"/>
  <c r="AN42" i="2" s="1"/>
  <c r="AS42" i="2"/>
  <c r="AT42" i="2" s="1"/>
  <c r="AV42" i="2"/>
  <c r="AW42" i="2" s="1"/>
  <c r="AY42" i="2"/>
  <c r="AZ42" i="2" s="1"/>
  <c r="H43" i="2"/>
  <c r="I43" i="2"/>
  <c r="J43" i="2"/>
  <c r="N43" i="2"/>
  <c r="O43" i="2" s="1"/>
  <c r="P43" i="2" s="1"/>
  <c r="R43" i="2"/>
  <c r="S43" i="2" s="1"/>
  <c r="AA43" i="2"/>
  <c r="AD43" i="2"/>
  <c r="AE43" i="2"/>
  <c r="AG43" i="2"/>
  <c r="AH43" i="2" s="1"/>
  <c r="AJ43" i="2"/>
  <c r="AI43" i="2" s="1"/>
  <c r="AL43" i="2"/>
  <c r="AO43" i="2" s="1"/>
  <c r="AM43" i="2"/>
  <c r="AN43" i="2" s="1"/>
  <c r="AS43" i="2"/>
  <c r="AT43" i="2"/>
  <c r="AV43" i="2"/>
  <c r="AW43" i="2" s="1"/>
  <c r="AY43" i="2"/>
  <c r="AZ43" i="2"/>
  <c r="H44" i="2"/>
  <c r="I44" i="2"/>
  <c r="J44" i="2"/>
  <c r="N44" i="2"/>
  <c r="O44" i="2" s="1"/>
  <c r="P44" i="2" s="1"/>
  <c r="R44" i="2"/>
  <c r="S44" i="2" s="1"/>
  <c r="AA44" i="2"/>
  <c r="AD44" i="2"/>
  <c r="AE44" i="2" s="1"/>
  <c r="AG44" i="2"/>
  <c r="AJ44" i="2"/>
  <c r="AL44" i="2"/>
  <c r="AO44" i="2" s="1"/>
  <c r="AM44" i="2"/>
  <c r="AN44" i="2" s="1"/>
  <c r="AS44" i="2"/>
  <c r="AT44" i="2" s="1"/>
  <c r="AV44" i="2"/>
  <c r="AW44" i="2" s="1"/>
  <c r="AY44" i="2"/>
  <c r="AZ44" i="2" s="1"/>
  <c r="H45" i="2"/>
  <c r="I45" i="2"/>
  <c r="J45" i="2"/>
  <c r="N45" i="2"/>
  <c r="O45" i="2" s="1"/>
  <c r="P45" i="2" s="1"/>
  <c r="R45" i="2"/>
  <c r="S45" i="2" s="1"/>
  <c r="AA45" i="2"/>
  <c r="Z45" i="2" s="1"/>
  <c r="AD45" i="2"/>
  <c r="AE45" i="2" s="1"/>
  <c r="AG45" i="2"/>
  <c r="AH45" i="2" s="1"/>
  <c r="AJ45" i="2"/>
  <c r="AK45" i="2" s="1"/>
  <c r="AL45" i="2"/>
  <c r="AO45" i="2" s="1"/>
  <c r="AM45" i="2"/>
  <c r="AN45" i="2" s="1"/>
  <c r="AS45" i="2"/>
  <c r="AT45" i="2" s="1"/>
  <c r="AV45" i="2"/>
  <c r="AW45" i="2" s="1"/>
  <c r="AY45" i="2"/>
  <c r="AZ45" i="2" s="1"/>
  <c r="H46" i="2"/>
  <c r="I46" i="2"/>
  <c r="J46" i="2"/>
  <c r="N46" i="2"/>
  <c r="O46" i="2" s="1"/>
  <c r="P46" i="2" s="1"/>
  <c r="R46" i="2"/>
  <c r="S46" i="2" s="1"/>
  <c r="AA46" i="2"/>
  <c r="Z46" i="2" s="1"/>
  <c r="AD46" i="2"/>
  <c r="AE46" i="2" s="1"/>
  <c r="AG46" i="2"/>
  <c r="AJ46" i="2"/>
  <c r="AK46" i="2" s="1"/>
  <c r="AL46" i="2"/>
  <c r="AO46" i="2" s="1"/>
  <c r="AM46" i="2"/>
  <c r="AN46" i="2" s="1"/>
  <c r="AS46" i="2"/>
  <c r="AT46" i="2" s="1"/>
  <c r="AV46" i="2"/>
  <c r="AW46" i="2" s="1"/>
  <c r="AY46" i="2"/>
  <c r="AZ46" i="2" s="1"/>
  <c r="H47" i="2"/>
  <c r="I47" i="2"/>
  <c r="J47" i="2"/>
  <c r="N47" i="2"/>
  <c r="O47" i="2" s="1"/>
  <c r="P47" i="2" s="1"/>
  <c r="R47" i="2"/>
  <c r="S47" i="2" s="1"/>
  <c r="AA47" i="2"/>
  <c r="AD47" i="2"/>
  <c r="AE47" i="2" s="1"/>
  <c r="AG47" i="2"/>
  <c r="AH47" i="2" s="1"/>
  <c r="AJ47" i="2"/>
  <c r="AI47" i="2" s="1"/>
  <c r="AL47" i="2"/>
  <c r="AP47" i="2" s="1"/>
  <c r="AQ47" i="2" s="1"/>
  <c r="AM47" i="2"/>
  <c r="AN47" i="2" s="1"/>
  <c r="AS47" i="2"/>
  <c r="AT47" i="2" s="1"/>
  <c r="AV47" i="2"/>
  <c r="AW47" i="2"/>
  <c r="AY47" i="2"/>
  <c r="AZ47" i="2" s="1"/>
  <c r="H48" i="2"/>
  <c r="I48" i="2"/>
  <c r="J48" i="2"/>
  <c r="N48" i="2"/>
  <c r="O48" i="2" s="1"/>
  <c r="P48" i="2" s="1"/>
  <c r="R48" i="2"/>
  <c r="S48" i="2"/>
  <c r="AA48" i="2"/>
  <c r="Z48" i="2" s="1"/>
  <c r="AD48" i="2"/>
  <c r="AE48" i="2" s="1"/>
  <c r="AG48" i="2"/>
  <c r="AF48" i="2" s="1"/>
  <c r="AJ48" i="2"/>
  <c r="AK48" i="2" s="1"/>
  <c r="AL48" i="2"/>
  <c r="AO48" i="2" s="1"/>
  <c r="AM48" i="2"/>
  <c r="AN48" i="2" s="1"/>
  <c r="AS48" i="2"/>
  <c r="AT48" i="2" s="1"/>
  <c r="AV48" i="2"/>
  <c r="AW48" i="2" s="1"/>
  <c r="AY48" i="2"/>
  <c r="AZ48" i="2" s="1"/>
  <c r="H49" i="2"/>
  <c r="I49" i="2"/>
  <c r="J49" i="2"/>
  <c r="N49" i="2"/>
  <c r="O49" i="2" s="1"/>
  <c r="P49" i="2" s="1"/>
  <c r="R49" i="2"/>
  <c r="S49" i="2" s="1"/>
  <c r="AA49" i="2"/>
  <c r="AB49" i="2" s="1"/>
  <c r="AD49" i="2"/>
  <c r="AE49" i="2" s="1"/>
  <c r="AG49" i="2"/>
  <c r="AF49" i="2" s="1"/>
  <c r="AJ49" i="2"/>
  <c r="AI49" i="2" s="1"/>
  <c r="AL49" i="2"/>
  <c r="AO49" i="2" s="1"/>
  <c r="AM49" i="2"/>
  <c r="AN49" i="2" s="1"/>
  <c r="AS49" i="2"/>
  <c r="AT49" i="2" s="1"/>
  <c r="AV49" i="2"/>
  <c r="AW49" i="2" s="1"/>
  <c r="AY49" i="2"/>
  <c r="AZ49" i="2" s="1"/>
  <c r="H50" i="2"/>
  <c r="I50" i="2"/>
  <c r="J50" i="2"/>
  <c r="N50" i="2"/>
  <c r="O50" i="2" s="1"/>
  <c r="P50" i="2" s="1"/>
  <c r="R50" i="2"/>
  <c r="S50" i="2" s="1"/>
  <c r="AA50" i="2"/>
  <c r="Z50" i="2" s="1"/>
  <c r="AD50" i="2"/>
  <c r="AE50" i="2" s="1"/>
  <c r="AG50" i="2"/>
  <c r="AF50" i="2" s="1"/>
  <c r="AJ50" i="2"/>
  <c r="AK50" i="2" s="1"/>
  <c r="AL50" i="2"/>
  <c r="AO50" i="2" s="1"/>
  <c r="AM50" i="2"/>
  <c r="AN50" i="2" s="1"/>
  <c r="AS50" i="2"/>
  <c r="AT50" i="2" s="1"/>
  <c r="AV50" i="2"/>
  <c r="AW50" i="2" s="1"/>
  <c r="AY50" i="2"/>
  <c r="AZ50" i="2"/>
  <c r="H51" i="2"/>
  <c r="I51" i="2"/>
  <c r="J51" i="2"/>
  <c r="N51" i="2"/>
  <c r="O51" i="2" s="1"/>
  <c r="P51" i="2" s="1"/>
  <c r="R51" i="2"/>
  <c r="S51" i="2" s="1"/>
  <c r="AA51" i="2"/>
  <c r="AB51" i="2" s="1"/>
  <c r="AD51" i="2"/>
  <c r="AE51" i="2" s="1"/>
  <c r="AG51" i="2"/>
  <c r="AF51" i="2" s="1"/>
  <c r="AI51" i="2"/>
  <c r="AJ51" i="2"/>
  <c r="AK51" i="2" s="1"/>
  <c r="AL51" i="2"/>
  <c r="AO51" i="2" s="1"/>
  <c r="AM51" i="2"/>
  <c r="AN51" i="2" s="1"/>
  <c r="AS51" i="2"/>
  <c r="AT51" i="2" s="1"/>
  <c r="AV51" i="2"/>
  <c r="AW51" i="2" s="1"/>
  <c r="AY51" i="2"/>
  <c r="AZ51" i="2" s="1"/>
  <c r="H52" i="2"/>
  <c r="I52" i="2"/>
  <c r="J52" i="2"/>
  <c r="N52" i="2"/>
  <c r="O52" i="2" s="1"/>
  <c r="P52" i="2" s="1"/>
  <c r="R52" i="2"/>
  <c r="S52" i="2" s="1"/>
  <c r="AA52" i="2"/>
  <c r="AB52" i="2" s="1"/>
  <c r="AD52" i="2"/>
  <c r="AE52" i="2" s="1"/>
  <c r="AG52" i="2"/>
  <c r="AF52" i="2" s="1"/>
  <c r="AJ52" i="2"/>
  <c r="AK52" i="2" s="1"/>
  <c r="AL52" i="2"/>
  <c r="AO52" i="2" s="1"/>
  <c r="AM52" i="2"/>
  <c r="AN52" i="2" s="1"/>
  <c r="AS52" i="2"/>
  <c r="AT52" i="2" s="1"/>
  <c r="AV52" i="2"/>
  <c r="AW52" i="2" s="1"/>
  <c r="AY52" i="2"/>
  <c r="AZ52" i="2" s="1"/>
  <c r="H53" i="2"/>
  <c r="I53" i="2"/>
  <c r="J53" i="2"/>
  <c r="N53" i="2"/>
  <c r="O53" i="2" s="1"/>
  <c r="P53" i="2" s="1"/>
  <c r="R53" i="2"/>
  <c r="S53" i="2" s="1"/>
  <c r="AA53" i="2"/>
  <c r="AB53" i="2" s="1"/>
  <c r="AD53" i="2"/>
  <c r="AE53" i="2" s="1"/>
  <c r="AG53" i="2"/>
  <c r="AF53" i="2" s="1"/>
  <c r="AJ53" i="2"/>
  <c r="AI53" i="2" s="1"/>
  <c r="AL53" i="2"/>
  <c r="AO53" i="2" s="1"/>
  <c r="AM53" i="2"/>
  <c r="AN53" i="2" s="1"/>
  <c r="AS53" i="2"/>
  <c r="AT53" i="2" s="1"/>
  <c r="AV53" i="2"/>
  <c r="AW53" i="2" s="1"/>
  <c r="AY53" i="2"/>
  <c r="AZ53" i="2" s="1"/>
  <c r="H54" i="2"/>
  <c r="I54" i="2"/>
  <c r="J54" i="2"/>
  <c r="N54" i="2"/>
  <c r="O54" i="2" s="1"/>
  <c r="P54" i="2" s="1"/>
  <c r="R54" i="2"/>
  <c r="S54" i="2" s="1"/>
  <c r="AA54" i="2"/>
  <c r="AB54" i="2" s="1"/>
  <c r="AD54" i="2"/>
  <c r="AE54" i="2" s="1"/>
  <c r="AG54" i="2"/>
  <c r="AF54" i="2" s="1"/>
  <c r="AJ54" i="2"/>
  <c r="AK54" i="2" s="1"/>
  <c r="AL54" i="2"/>
  <c r="AO54" i="2" s="1"/>
  <c r="AM54" i="2"/>
  <c r="AN54" i="2" s="1"/>
  <c r="AS54" i="2"/>
  <c r="AT54" i="2" s="1"/>
  <c r="AV54" i="2"/>
  <c r="AW54" i="2" s="1"/>
  <c r="AY54" i="2"/>
  <c r="AZ54" i="2" s="1"/>
  <c r="H55" i="2"/>
  <c r="I55" i="2"/>
  <c r="J55" i="2"/>
  <c r="N55" i="2"/>
  <c r="O55" i="2" s="1"/>
  <c r="P55" i="2" s="1"/>
  <c r="R55" i="2"/>
  <c r="S55" i="2" s="1"/>
  <c r="Z55" i="2"/>
  <c r="AA55" i="2"/>
  <c r="AB55" i="2" s="1"/>
  <c r="AD55" i="2"/>
  <c r="AE55" i="2" s="1"/>
  <c r="AG55" i="2"/>
  <c r="AF55" i="2" s="1"/>
  <c r="AJ55" i="2"/>
  <c r="AK55" i="2" s="1"/>
  <c r="AL55" i="2"/>
  <c r="AO55" i="2" s="1"/>
  <c r="AM55" i="2"/>
  <c r="AN55" i="2" s="1"/>
  <c r="AS55" i="2"/>
  <c r="AT55" i="2" s="1"/>
  <c r="AV55" i="2"/>
  <c r="AW55" i="2" s="1"/>
  <c r="AY55" i="2"/>
  <c r="AZ55" i="2" s="1"/>
  <c r="H56" i="2"/>
  <c r="I56" i="2"/>
  <c r="J56" i="2"/>
  <c r="N56" i="2"/>
  <c r="O56" i="2" s="1"/>
  <c r="P56" i="2" s="1"/>
  <c r="R56" i="2"/>
  <c r="S56" i="2" s="1"/>
  <c r="AA56" i="2"/>
  <c r="AB56" i="2" s="1"/>
  <c r="AD56" i="2"/>
  <c r="AE56" i="2" s="1"/>
  <c r="AG56" i="2"/>
  <c r="AH56" i="2" s="1"/>
  <c r="AJ56" i="2"/>
  <c r="AK56" i="2" s="1"/>
  <c r="AL56" i="2"/>
  <c r="AO56" i="2" s="1"/>
  <c r="AM56" i="2"/>
  <c r="AN56" i="2" s="1"/>
  <c r="AS56" i="2"/>
  <c r="AT56" i="2" s="1"/>
  <c r="AV56" i="2"/>
  <c r="AW56" i="2" s="1"/>
  <c r="AY56" i="2"/>
  <c r="AZ56" i="2" s="1"/>
  <c r="H57" i="2"/>
  <c r="I57" i="2"/>
  <c r="J57" i="2"/>
  <c r="N57" i="2"/>
  <c r="O57" i="2" s="1"/>
  <c r="P57" i="2" s="1"/>
  <c r="R57" i="2"/>
  <c r="S57" i="2" s="1"/>
  <c r="AA57" i="2"/>
  <c r="AB57" i="2" s="1"/>
  <c r="AD57" i="2"/>
  <c r="AE57" i="2" s="1"/>
  <c r="AG57" i="2"/>
  <c r="AH57" i="2" s="1"/>
  <c r="AJ57" i="2"/>
  <c r="AI57" i="2" s="1"/>
  <c r="AL57" i="2"/>
  <c r="AO57" i="2" s="1"/>
  <c r="AM57" i="2"/>
  <c r="AN57" i="2" s="1"/>
  <c r="AS57" i="2"/>
  <c r="AT57" i="2" s="1"/>
  <c r="AV57" i="2"/>
  <c r="AW57" i="2" s="1"/>
  <c r="AY57" i="2"/>
  <c r="AZ57" i="2" s="1"/>
  <c r="H58" i="2"/>
  <c r="I58" i="2"/>
  <c r="J58" i="2"/>
  <c r="N58" i="2"/>
  <c r="O58" i="2" s="1"/>
  <c r="P58" i="2" s="1"/>
  <c r="R58" i="2"/>
  <c r="S58" i="2" s="1"/>
  <c r="AA58" i="2"/>
  <c r="Z58" i="2" s="1"/>
  <c r="AD58" i="2"/>
  <c r="AE58" i="2" s="1"/>
  <c r="AG58" i="2"/>
  <c r="AH58" i="2" s="1"/>
  <c r="AJ58" i="2"/>
  <c r="AI58" i="2" s="1"/>
  <c r="AL58" i="2"/>
  <c r="AO58" i="2" s="1"/>
  <c r="AM58" i="2"/>
  <c r="AN58" i="2" s="1"/>
  <c r="AS58" i="2"/>
  <c r="AT58" i="2" s="1"/>
  <c r="AV58" i="2"/>
  <c r="AW58" i="2" s="1"/>
  <c r="AY58" i="2"/>
  <c r="AZ58" i="2" s="1"/>
  <c r="H59" i="2"/>
  <c r="I59" i="2"/>
  <c r="J59" i="2"/>
  <c r="N59" i="2"/>
  <c r="O59" i="2" s="1"/>
  <c r="P59" i="2" s="1"/>
  <c r="R59" i="2"/>
  <c r="S59" i="2"/>
  <c r="AA59" i="2"/>
  <c r="Z59" i="2" s="1"/>
  <c r="AD59" i="2"/>
  <c r="AE59" i="2" s="1"/>
  <c r="AG59" i="2"/>
  <c r="AF59" i="2" s="1"/>
  <c r="AJ59" i="2"/>
  <c r="AI59" i="2" s="1"/>
  <c r="AL59" i="2"/>
  <c r="AO59" i="2" s="1"/>
  <c r="AM59" i="2"/>
  <c r="AN59" i="2" s="1"/>
  <c r="AS59" i="2"/>
  <c r="AT59" i="2" s="1"/>
  <c r="AV59" i="2"/>
  <c r="AW59" i="2" s="1"/>
  <c r="AY59" i="2"/>
  <c r="AZ59" i="2" s="1"/>
  <c r="H60" i="2"/>
  <c r="I60" i="2"/>
  <c r="J60" i="2"/>
  <c r="N60" i="2"/>
  <c r="O60" i="2" s="1"/>
  <c r="P60" i="2" s="1"/>
  <c r="R60" i="2"/>
  <c r="S60" i="2" s="1"/>
  <c r="AA60" i="2"/>
  <c r="Z60" i="2" s="1"/>
  <c r="AD60" i="2"/>
  <c r="AE60" i="2" s="1"/>
  <c r="AG60" i="2"/>
  <c r="AH60" i="2" s="1"/>
  <c r="AJ60" i="2"/>
  <c r="AI60" i="2" s="1"/>
  <c r="AL60" i="2"/>
  <c r="AO60" i="2" s="1"/>
  <c r="AM60" i="2"/>
  <c r="AN60" i="2" s="1"/>
  <c r="AS60" i="2"/>
  <c r="AT60" i="2" s="1"/>
  <c r="AV60" i="2"/>
  <c r="AW60" i="2" s="1"/>
  <c r="AY60" i="2"/>
  <c r="AZ60" i="2" s="1"/>
  <c r="H61" i="2"/>
  <c r="I61" i="2"/>
  <c r="J61" i="2"/>
  <c r="N61" i="2"/>
  <c r="O61" i="2" s="1"/>
  <c r="P61" i="2" s="1"/>
  <c r="R61" i="2"/>
  <c r="S61" i="2" s="1"/>
  <c r="AA61" i="2"/>
  <c r="Z61" i="2" s="1"/>
  <c r="AD61" i="2"/>
  <c r="AE61" i="2" s="1"/>
  <c r="AG61" i="2"/>
  <c r="AH61" i="2" s="1"/>
  <c r="AJ61" i="2"/>
  <c r="AI61" i="2" s="1"/>
  <c r="AL61" i="2"/>
  <c r="AO61" i="2" s="1"/>
  <c r="AM61" i="2"/>
  <c r="AN61" i="2" s="1"/>
  <c r="AS61" i="2"/>
  <c r="AT61" i="2" s="1"/>
  <c r="AV61" i="2"/>
  <c r="AW61" i="2" s="1"/>
  <c r="AY61" i="2"/>
  <c r="AZ61" i="2" s="1"/>
  <c r="H62" i="2"/>
  <c r="I62" i="2"/>
  <c r="J62" i="2"/>
  <c r="N62" i="2"/>
  <c r="O62" i="2" s="1"/>
  <c r="P62" i="2" s="1"/>
  <c r="R62" i="2"/>
  <c r="S62" i="2" s="1"/>
  <c r="AA62" i="2"/>
  <c r="Z62" i="2" s="1"/>
  <c r="AD62" i="2"/>
  <c r="AE62" i="2" s="1"/>
  <c r="AG62" i="2"/>
  <c r="AF62" i="2" s="1"/>
  <c r="AJ62" i="2"/>
  <c r="AI62" i="2" s="1"/>
  <c r="AL62" i="2"/>
  <c r="AO62" i="2" s="1"/>
  <c r="AM62" i="2"/>
  <c r="AN62" i="2" s="1"/>
  <c r="AS62" i="2"/>
  <c r="AT62" i="2" s="1"/>
  <c r="AV62" i="2"/>
  <c r="AW62" i="2" s="1"/>
  <c r="AY62" i="2"/>
  <c r="AZ62" i="2" s="1"/>
  <c r="H63" i="2"/>
  <c r="I63" i="2"/>
  <c r="J63" i="2"/>
  <c r="N63" i="2"/>
  <c r="O63" i="2" s="1"/>
  <c r="P63" i="2" s="1"/>
  <c r="R63" i="2"/>
  <c r="S63" i="2" s="1"/>
  <c r="AA63" i="2"/>
  <c r="Z63" i="2" s="1"/>
  <c r="AD63" i="2"/>
  <c r="AE63" i="2" s="1"/>
  <c r="AG63" i="2"/>
  <c r="AF63" i="2" s="1"/>
  <c r="AJ63" i="2"/>
  <c r="AI63" i="2" s="1"/>
  <c r="AL63" i="2"/>
  <c r="AO63" i="2" s="1"/>
  <c r="AM63" i="2"/>
  <c r="AN63" i="2" s="1"/>
  <c r="AS63" i="2"/>
  <c r="AT63" i="2" s="1"/>
  <c r="AV63" i="2"/>
  <c r="AW63" i="2" s="1"/>
  <c r="AY63" i="2"/>
  <c r="AZ63" i="2" s="1"/>
  <c r="H64" i="2"/>
  <c r="I64" i="2"/>
  <c r="J64" i="2"/>
  <c r="N64" i="2"/>
  <c r="O64" i="2" s="1"/>
  <c r="P64" i="2" s="1"/>
  <c r="R64" i="2"/>
  <c r="S64" i="2" s="1"/>
  <c r="AA64" i="2"/>
  <c r="AD64" i="2"/>
  <c r="AE64" i="2" s="1"/>
  <c r="AG64" i="2"/>
  <c r="AH64" i="2" s="1"/>
  <c r="AJ64" i="2"/>
  <c r="AL64" i="2"/>
  <c r="AO64" i="2" s="1"/>
  <c r="AM64" i="2"/>
  <c r="AN64" i="2" s="1"/>
  <c r="AS64" i="2"/>
  <c r="AT64" i="2" s="1"/>
  <c r="AV64" i="2"/>
  <c r="AW64" i="2" s="1"/>
  <c r="AY64" i="2"/>
  <c r="AZ64" i="2" s="1"/>
  <c r="H65" i="2"/>
  <c r="I65" i="2"/>
  <c r="J65" i="2"/>
  <c r="N65" i="2"/>
  <c r="O65" i="2" s="1"/>
  <c r="P65" i="2" s="1"/>
  <c r="R65" i="2"/>
  <c r="S65" i="2"/>
  <c r="AA65" i="2"/>
  <c r="AD65" i="2"/>
  <c r="AE65" i="2" s="1"/>
  <c r="AG65" i="2"/>
  <c r="AF65" i="2" s="1"/>
  <c r="AJ65" i="2"/>
  <c r="AL65" i="2"/>
  <c r="AO65" i="2" s="1"/>
  <c r="AM65" i="2"/>
  <c r="AN65" i="2" s="1"/>
  <c r="AS65" i="2"/>
  <c r="AT65" i="2" s="1"/>
  <c r="AV65" i="2"/>
  <c r="AW65" i="2" s="1"/>
  <c r="AY65" i="2"/>
  <c r="AZ65" i="2" s="1"/>
  <c r="H66" i="2"/>
  <c r="I66" i="2"/>
  <c r="J66" i="2"/>
  <c r="N66" i="2"/>
  <c r="O66" i="2" s="1"/>
  <c r="P66" i="2" s="1"/>
  <c r="R66" i="2"/>
  <c r="S66" i="2" s="1"/>
  <c r="AA66" i="2"/>
  <c r="AD66" i="2"/>
  <c r="AE66" i="2" s="1"/>
  <c r="AG66" i="2"/>
  <c r="AH66" i="2" s="1"/>
  <c r="AJ66" i="2"/>
  <c r="AL66" i="2"/>
  <c r="AO66" i="2" s="1"/>
  <c r="AM66" i="2"/>
  <c r="AN66" i="2" s="1"/>
  <c r="AS66" i="2"/>
  <c r="AT66" i="2" s="1"/>
  <c r="AV66" i="2"/>
  <c r="AW66" i="2" s="1"/>
  <c r="AY66" i="2"/>
  <c r="AZ66" i="2" s="1"/>
  <c r="H67" i="2"/>
  <c r="I67" i="2"/>
  <c r="J67" i="2"/>
  <c r="N67" i="2"/>
  <c r="O67" i="2" s="1"/>
  <c r="P67" i="2" s="1"/>
  <c r="R67" i="2"/>
  <c r="S67" i="2"/>
  <c r="AA67" i="2"/>
  <c r="AD67" i="2"/>
  <c r="AE67" i="2" s="1"/>
  <c r="AG67" i="2"/>
  <c r="AF67" i="2" s="1"/>
  <c r="AJ67" i="2"/>
  <c r="AL67" i="2"/>
  <c r="AO67" i="2" s="1"/>
  <c r="AM67" i="2"/>
  <c r="AN67" i="2" s="1"/>
  <c r="AS67" i="2"/>
  <c r="AT67" i="2" s="1"/>
  <c r="AV67" i="2"/>
  <c r="AW67" i="2" s="1"/>
  <c r="AY67" i="2"/>
  <c r="AZ67" i="2" s="1"/>
  <c r="H68" i="2"/>
  <c r="I68" i="2"/>
  <c r="J68" i="2"/>
  <c r="N68" i="2"/>
  <c r="O68" i="2" s="1"/>
  <c r="P68" i="2" s="1"/>
  <c r="R68" i="2"/>
  <c r="S68" i="2"/>
  <c r="AA68" i="2"/>
  <c r="AD68" i="2"/>
  <c r="AE68" i="2" s="1"/>
  <c r="AG68" i="2"/>
  <c r="AF68" i="2" s="1"/>
  <c r="AJ68" i="2"/>
  <c r="AL68" i="2"/>
  <c r="AO68" i="2" s="1"/>
  <c r="AM68" i="2"/>
  <c r="AN68" i="2" s="1"/>
  <c r="AS68" i="2"/>
  <c r="AT68" i="2" s="1"/>
  <c r="AV68" i="2"/>
  <c r="AW68" i="2" s="1"/>
  <c r="AY68" i="2"/>
  <c r="AZ68" i="2" s="1"/>
  <c r="H69" i="2"/>
  <c r="I69" i="2"/>
  <c r="J69" i="2"/>
  <c r="N69" i="2"/>
  <c r="O69" i="2" s="1"/>
  <c r="P69" i="2" s="1"/>
  <c r="R69" i="2"/>
  <c r="S69" i="2" s="1"/>
  <c r="AA69" i="2"/>
  <c r="AD69" i="2"/>
  <c r="AE69" i="2" s="1"/>
  <c r="AG69" i="2"/>
  <c r="AH69" i="2" s="1"/>
  <c r="AJ69" i="2"/>
  <c r="AL69" i="2"/>
  <c r="AO69" i="2" s="1"/>
  <c r="AM69" i="2"/>
  <c r="AN69" i="2"/>
  <c r="AS69" i="2"/>
  <c r="AT69" i="2" s="1"/>
  <c r="AV69" i="2"/>
  <c r="AW69" i="2" s="1"/>
  <c r="AY69" i="2"/>
  <c r="AZ69" i="2" s="1"/>
  <c r="H70" i="2"/>
  <c r="I70" i="2"/>
  <c r="J70" i="2"/>
  <c r="N70" i="2"/>
  <c r="O70" i="2" s="1"/>
  <c r="P70" i="2" s="1"/>
  <c r="R70" i="2"/>
  <c r="S70" i="2" s="1"/>
  <c r="AA70" i="2"/>
  <c r="AD70" i="2"/>
  <c r="AE70" i="2" s="1"/>
  <c r="AG70" i="2"/>
  <c r="AF70" i="2" s="1"/>
  <c r="AJ70" i="2"/>
  <c r="AL70" i="2"/>
  <c r="AO70" i="2" s="1"/>
  <c r="AM70" i="2"/>
  <c r="AN70" i="2" s="1"/>
  <c r="AS70" i="2"/>
  <c r="AT70" i="2" s="1"/>
  <c r="AV70" i="2"/>
  <c r="AW70" i="2" s="1"/>
  <c r="AY70" i="2"/>
  <c r="AZ70" i="2" s="1"/>
  <c r="H71" i="2"/>
  <c r="I71" i="2"/>
  <c r="J71" i="2"/>
  <c r="N71" i="2"/>
  <c r="O71" i="2" s="1"/>
  <c r="P71" i="2" s="1"/>
  <c r="R71" i="2"/>
  <c r="S71" i="2" s="1"/>
  <c r="AA71" i="2"/>
  <c r="AD71" i="2"/>
  <c r="AE71" i="2" s="1"/>
  <c r="AG71" i="2"/>
  <c r="AF71" i="2" s="1"/>
  <c r="AJ71" i="2"/>
  <c r="AL71" i="2"/>
  <c r="AO71" i="2" s="1"/>
  <c r="AM71" i="2"/>
  <c r="AN71" i="2" s="1"/>
  <c r="AS71" i="2"/>
  <c r="AT71" i="2" s="1"/>
  <c r="AV71" i="2"/>
  <c r="AW71" i="2" s="1"/>
  <c r="AY71" i="2"/>
  <c r="AZ71" i="2" s="1"/>
  <c r="H72" i="2"/>
  <c r="I72" i="2"/>
  <c r="J72" i="2"/>
  <c r="N72" i="2"/>
  <c r="O72" i="2" s="1"/>
  <c r="P72" i="2" s="1"/>
  <c r="R72" i="2"/>
  <c r="S72" i="2" s="1"/>
  <c r="AA72" i="2"/>
  <c r="AD72" i="2"/>
  <c r="AE72" i="2" s="1"/>
  <c r="AG72" i="2"/>
  <c r="AF72" i="2" s="1"/>
  <c r="AJ72" i="2"/>
  <c r="AI72" i="2" s="1"/>
  <c r="AL72" i="2"/>
  <c r="AO72" i="2" s="1"/>
  <c r="AM72" i="2"/>
  <c r="AN72" i="2" s="1"/>
  <c r="AS72" i="2"/>
  <c r="AT72" i="2" s="1"/>
  <c r="AV72" i="2"/>
  <c r="AW72" i="2" s="1"/>
  <c r="AY72" i="2"/>
  <c r="AZ72" i="2"/>
  <c r="H73" i="2"/>
  <c r="I73" i="2"/>
  <c r="J73" i="2"/>
  <c r="N73" i="2"/>
  <c r="O73" i="2" s="1"/>
  <c r="P73" i="2" s="1"/>
  <c r="R73" i="2"/>
  <c r="S73" i="2" s="1"/>
  <c r="AA73" i="2"/>
  <c r="Z73" i="2" s="1"/>
  <c r="AD73" i="2"/>
  <c r="AE73" i="2" s="1"/>
  <c r="AG73" i="2"/>
  <c r="AF73" i="2" s="1"/>
  <c r="AJ73" i="2"/>
  <c r="AI73" i="2" s="1"/>
  <c r="AL73" i="2"/>
  <c r="AO73" i="2" s="1"/>
  <c r="AM73" i="2"/>
  <c r="AN73" i="2" s="1"/>
  <c r="AS73" i="2"/>
  <c r="AT73" i="2" s="1"/>
  <c r="AV73" i="2"/>
  <c r="AW73" i="2" s="1"/>
  <c r="AY73" i="2"/>
  <c r="AZ73" i="2" s="1"/>
  <c r="H74" i="2"/>
  <c r="I74" i="2"/>
  <c r="J74" i="2"/>
  <c r="N74" i="2"/>
  <c r="O74" i="2" s="1"/>
  <c r="P74" i="2" s="1"/>
  <c r="R74" i="2"/>
  <c r="S74" i="2" s="1"/>
  <c r="AA74" i="2"/>
  <c r="Z74" i="2" s="1"/>
  <c r="AD74" i="2"/>
  <c r="AE74" i="2" s="1"/>
  <c r="AG74" i="2"/>
  <c r="AH74" i="2" s="1"/>
  <c r="AJ74" i="2"/>
  <c r="AI74" i="2" s="1"/>
  <c r="AL74" i="2"/>
  <c r="AP74" i="2" s="1"/>
  <c r="AQ74" i="2" s="1"/>
  <c r="AM74" i="2"/>
  <c r="AN74" i="2" s="1"/>
  <c r="AS74" i="2"/>
  <c r="AT74" i="2" s="1"/>
  <c r="AV74" i="2"/>
  <c r="AW74" i="2" s="1"/>
  <c r="AY74" i="2"/>
  <c r="AZ74" i="2" s="1"/>
  <c r="H75" i="2"/>
  <c r="I75" i="2"/>
  <c r="J75" i="2"/>
  <c r="N75" i="2"/>
  <c r="O75" i="2" s="1"/>
  <c r="P75" i="2" s="1"/>
  <c r="R75" i="2"/>
  <c r="S75" i="2" s="1"/>
  <c r="AA75" i="2"/>
  <c r="Z75" i="2" s="1"/>
  <c r="AD75" i="2"/>
  <c r="AE75" i="2" s="1"/>
  <c r="AG75" i="2"/>
  <c r="AH75" i="2" s="1"/>
  <c r="AJ75" i="2"/>
  <c r="AI75" i="2" s="1"/>
  <c r="AL75" i="2"/>
  <c r="AP75" i="2" s="1"/>
  <c r="AQ75" i="2" s="1"/>
  <c r="AM75" i="2"/>
  <c r="AN75" i="2" s="1"/>
  <c r="AS75" i="2"/>
  <c r="AT75" i="2" s="1"/>
  <c r="AV75" i="2"/>
  <c r="AW75" i="2" s="1"/>
  <c r="AY75" i="2"/>
  <c r="AZ75" i="2" s="1"/>
  <c r="H76" i="2"/>
  <c r="I76" i="2"/>
  <c r="J76" i="2"/>
  <c r="N76" i="2"/>
  <c r="O76" i="2" s="1"/>
  <c r="P76" i="2" s="1"/>
  <c r="R76" i="2"/>
  <c r="S76" i="2" s="1"/>
  <c r="AA76" i="2"/>
  <c r="AB76" i="2" s="1"/>
  <c r="AD76" i="2"/>
  <c r="AE76" i="2" s="1"/>
  <c r="AG76" i="2"/>
  <c r="AH76" i="2" s="1"/>
  <c r="AJ76" i="2"/>
  <c r="AK76" i="2" s="1"/>
  <c r="AL76" i="2"/>
  <c r="AP76" i="2" s="1"/>
  <c r="AQ76" i="2" s="1"/>
  <c r="AM76" i="2"/>
  <c r="AN76" i="2" s="1"/>
  <c r="AS76" i="2"/>
  <c r="AT76" i="2" s="1"/>
  <c r="AV76" i="2"/>
  <c r="AW76" i="2" s="1"/>
  <c r="AY76" i="2"/>
  <c r="AZ76" i="2" s="1"/>
  <c r="H6" i="2"/>
  <c r="I6" i="2"/>
  <c r="J6" i="2"/>
  <c r="N6" i="2"/>
  <c r="O6" i="2" s="1"/>
  <c r="R6" i="2"/>
  <c r="S6" i="2" s="1"/>
  <c r="AA6" i="2"/>
  <c r="Z6" i="2" s="1"/>
  <c r="AD6" i="2"/>
  <c r="AE6" i="2" s="1"/>
  <c r="AG6" i="2"/>
  <c r="AF6" i="2" s="1"/>
  <c r="AJ6" i="2"/>
  <c r="AI6" i="2" s="1"/>
  <c r="AL6" i="2"/>
  <c r="AO6" i="2" s="1"/>
  <c r="AM6" i="2"/>
  <c r="AN6" i="2" s="1"/>
  <c r="AS6" i="2"/>
  <c r="AT6" i="2" s="1"/>
  <c r="AV6" i="2"/>
  <c r="AW6" i="2" s="1"/>
  <c r="AY6" i="2"/>
  <c r="AZ6" i="2" s="1"/>
  <c r="H7" i="2"/>
  <c r="J7" i="2"/>
  <c r="BJ14" i="5"/>
  <c r="AW3" i="5"/>
  <c r="AW5" i="5"/>
  <c r="AW7" i="5"/>
  <c r="AW2" i="5"/>
  <c r="R24" i="5"/>
  <c r="Y24" i="5" s="1"/>
  <c r="AF24" i="5" s="1"/>
  <c r="AM24" i="5" s="1"/>
  <c r="AT24" i="5" s="1"/>
  <c r="BA24" i="5" s="1"/>
  <c r="BH24" i="5" s="1"/>
  <c r="R25" i="5"/>
  <c r="Y25" i="5" s="1"/>
  <c r="AF25" i="5" s="1"/>
  <c r="AM25" i="5" s="1"/>
  <c r="AT25" i="5"/>
  <c r="BA25" i="5" s="1"/>
  <c r="BH25" i="5" s="1"/>
  <c r="R26" i="5"/>
  <c r="Y26" i="5"/>
  <c r="AF26" i="5" s="1"/>
  <c r="AM26" i="5" s="1"/>
  <c r="AT26" i="5" s="1"/>
  <c r="BA26" i="5" s="1"/>
  <c r="BH26" i="5" s="1"/>
  <c r="R27" i="5"/>
  <c r="Y27" i="5" s="1"/>
  <c r="AF27" i="5" s="1"/>
  <c r="AM27" i="5" s="1"/>
  <c r="AT27" i="5" s="1"/>
  <c r="BA27" i="5" s="1"/>
  <c r="BH27" i="5" s="1"/>
  <c r="R28" i="5"/>
  <c r="Y28" i="5"/>
  <c r="AF28" i="5" s="1"/>
  <c r="AM28" i="5" s="1"/>
  <c r="AT28" i="5" s="1"/>
  <c r="BA28" i="5" s="1"/>
  <c r="BH28" i="5" s="1"/>
  <c r="R29" i="5"/>
  <c r="Y29" i="5" s="1"/>
  <c r="AF29" i="5" s="1"/>
  <c r="AM29" i="5" s="1"/>
  <c r="AT29" i="5" s="1"/>
  <c r="BA29" i="5" s="1"/>
  <c r="BH29" i="5" s="1"/>
  <c r="R30" i="5"/>
  <c r="Y30" i="5"/>
  <c r="AF30" i="5" s="1"/>
  <c r="AM30" i="5" s="1"/>
  <c r="AT30" i="5" s="1"/>
  <c r="BA30" i="5" s="1"/>
  <c r="BH30" i="5" s="1"/>
  <c r="R31" i="5"/>
  <c r="Y31" i="5" s="1"/>
  <c r="AF31" i="5" s="1"/>
  <c r="AM31" i="5" s="1"/>
  <c r="AT31" i="5" s="1"/>
  <c r="BA31" i="5" s="1"/>
  <c r="BH31" i="5" s="1"/>
  <c r="R32" i="5"/>
  <c r="Y32" i="5"/>
  <c r="AF32" i="5" s="1"/>
  <c r="AM32" i="5" s="1"/>
  <c r="AT32" i="5" s="1"/>
  <c r="BA32" i="5" s="1"/>
  <c r="BH32" i="5" s="1"/>
  <c r="R33" i="5"/>
  <c r="Y33" i="5" s="1"/>
  <c r="AF33" i="5" s="1"/>
  <c r="AM33" i="5" s="1"/>
  <c r="AT33" i="5" s="1"/>
  <c r="BA33" i="5" s="1"/>
  <c r="BH33" i="5" s="1"/>
  <c r="R34" i="5"/>
  <c r="Y34" i="5"/>
  <c r="AF34" i="5" s="1"/>
  <c r="AM34" i="5" s="1"/>
  <c r="AT34" i="5" s="1"/>
  <c r="BA34" i="5" s="1"/>
  <c r="BH34" i="5" s="1"/>
  <c r="R35" i="5"/>
  <c r="Y35" i="5" s="1"/>
  <c r="AF35" i="5" s="1"/>
  <c r="AM35" i="5" s="1"/>
  <c r="AT35" i="5" s="1"/>
  <c r="BA35" i="5" s="1"/>
  <c r="BH35" i="5" s="1"/>
  <c r="R36" i="5"/>
  <c r="Y36" i="5" s="1"/>
  <c r="AF36" i="5" s="1"/>
  <c r="AM36" i="5" s="1"/>
  <c r="AT36" i="5" s="1"/>
  <c r="BA36" i="5" s="1"/>
  <c r="BH36" i="5" s="1"/>
  <c r="S36" i="5"/>
  <c r="Z36" i="5" s="1"/>
  <c r="AG36" i="5"/>
  <c r="AN36" i="5" s="1"/>
  <c r="AU36" i="5" s="1"/>
  <c r="BB36" i="5" s="1"/>
  <c r="BI36" i="5" s="1"/>
  <c r="R37" i="5"/>
  <c r="Y37" i="5" s="1"/>
  <c r="AF37" i="5" s="1"/>
  <c r="AM37" i="5" s="1"/>
  <c r="AT37" i="5" s="1"/>
  <c r="BA37" i="5" s="1"/>
  <c r="BH37" i="5" s="1"/>
  <c r="R38" i="5"/>
  <c r="Y38" i="5"/>
  <c r="AF38" i="5" s="1"/>
  <c r="AM38" i="5" s="1"/>
  <c r="AT38" i="5" s="1"/>
  <c r="BA38" i="5" s="1"/>
  <c r="BH38" i="5" s="1"/>
  <c r="R39" i="5"/>
  <c r="Y39" i="5" s="1"/>
  <c r="AF39" i="5" s="1"/>
  <c r="AM39" i="5" s="1"/>
  <c r="AT39" i="5" s="1"/>
  <c r="BA39" i="5" s="1"/>
  <c r="BH39" i="5" s="1"/>
  <c r="R40" i="5"/>
  <c r="Y40" i="5" s="1"/>
  <c r="AF40" i="5" s="1"/>
  <c r="AM40" i="5" s="1"/>
  <c r="AT40" i="5" s="1"/>
  <c r="BA40" i="5" s="1"/>
  <c r="BH40" i="5" s="1"/>
  <c r="R41" i="5"/>
  <c r="Y41" i="5"/>
  <c r="AF41" i="5" s="1"/>
  <c r="AM41" i="5" s="1"/>
  <c r="AT41" i="5" s="1"/>
  <c r="BA41" i="5" s="1"/>
  <c r="BH41" i="5" s="1"/>
  <c r="R42" i="5"/>
  <c r="Y42" i="5" s="1"/>
  <c r="AF42" i="5" s="1"/>
  <c r="AM42" i="5" s="1"/>
  <c r="AT42" i="5" s="1"/>
  <c r="BA42" i="5" s="1"/>
  <c r="BH42" i="5" s="1"/>
  <c r="R43" i="5"/>
  <c r="Y43" i="5" s="1"/>
  <c r="AF43" i="5" s="1"/>
  <c r="AM43" i="5" s="1"/>
  <c r="AT43" i="5" s="1"/>
  <c r="BA43" i="5" s="1"/>
  <c r="BH43" i="5" s="1"/>
  <c r="R44" i="5"/>
  <c r="Y44" i="5" s="1"/>
  <c r="AF44" i="5" s="1"/>
  <c r="AM44" i="5" s="1"/>
  <c r="AT44" i="5" s="1"/>
  <c r="BA44" i="5" s="1"/>
  <c r="BH44" i="5" s="1"/>
  <c r="R45" i="5"/>
  <c r="Y45" i="5" s="1"/>
  <c r="AF45" i="5" s="1"/>
  <c r="AM45" i="5" s="1"/>
  <c r="AT45" i="5" s="1"/>
  <c r="BA45" i="5" s="1"/>
  <c r="BH45" i="5" s="1"/>
  <c r="R46" i="5"/>
  <c r="Y46" i="5"/>
  <c r="AF46" i="5" s="1"/>
  <c r="AM46" i="5" s="1"/>
  <c r="AT46" i="5" s="1"/>
  <c r="BA46" i="5" s="1"/>
  <c r="BH46" i="5" s="1"/>
  <c r="R47" i="5"/>
  <c r="Y47" i="5" s="1"/>
  <c r="AF47" i="5" s="1"/>
  <c r="AM47" i="5" s="1"/>
  <c r="AT47" i="5" s="1"/>
  <c r="BA47" i="5" s="1"/>
  <c r="BH47" i="5" s="1"/>
  <c r="P14" i="5"/>
  <c r="W14" i="5" s="1"/>
  <c r="AD14" i="5" s="1"/>
  <c r="AK14" i="5" s="1"/>
  <c r="AR14" i="5" s="1"/>
  <c r="AY14" i="5" s="1"/>
  <c r="BF14" i="5" s="1"/>
  <c r="Q14" i="5"/>
  <c r="R14" i="5"/>
  <c r="Y14" i="5" s="1"/>
  <c r="AF14" i="5" s="1"/>
  <c r="AM14" i="5" s="1"/>
  <c r="AT14" i="5" s="1"/>
  <c r="BA14" i="5" s="1"/>
  <c r="BH14" i="5" s="1"/>
  <c r="T14" i="5"/>
  <c r="AA14" i="5" s="1"/>
  <c r="AH14" i="5" s="1"/>
  <c r="AO14" i="5" s="1"/>
  <c r="AV14" i="5" s="1"/>
  <c r="BC14" i="5" s="1"/>
  <c r="U14" i="5"/>
  <c r="AB14" i="5" s="1"/>
  <c r="AI14" i="5" s="1"/>
  <c r="AP14" i="5" s="1"/>
  <c r="AW14" i="5" s="1"/>
  <c r="BD14" i="5" s="1"/>
  <c r="V14" i="5"/>
  <c r="X14" i="5"/>
  <c r="AE14" i="5" s="1"/>
  <c r="AL14" i="5" s="1"/>
  <c r="AS14" i="5" s="1"/>
  <c r="AZ14" i="5" s="1"/>
  <c r="BG14" i="5" s="1"/>
  <c r="AC14" i="5"/>
  <c r="AJ14" i="5"/>
  <c r="AQ14" i="5" s="1"/>
  <c r="AX14" i="5" s="1"/>
  <c r="BE14" i="5" s="1"/>
  <c r="O14" i="5"/>
  <c r="L14" i="5"/>
  <c r="S14" i="5" s="1"/>
  <c r="Z14" i="5" s="1"/>
  <c r="AG14" i="5" s="1"/>
  <c r="AN14" i="5" s="1"/>
  <c r="AU14" i="5" s="1"/>
  <c r="BB14" i="5" s="1"/>
  <c r="BI14" i="5" s="1"/>
  <c r="L24" i="5"/>
  <c r="S24" i="5" s="1"/>
  <c r="Z24" i="5" s="1"/>
  <c r="AG24" i="5" s="1"/>
  <c r="AN24" i="5" s="1"/>
  <c r="AU24" i="5" s="1"/>
  <c r="BB24" i="5" s="1"/>
  <c r="BI24" i="5" s="1"/>
  <c r="L25" i="5"/>
  <c r="S25" i="5" s="1"/>
  <c r="Z25" i="5" s="1"/>
  <c r="AG25" i="5" s="1"/>
  <c r="AN25" i="5" s="1"/>
  <c r="AU25" i="5" s="1"/>
  <c r="BB25" i="5" s="1"/>
  <c r="BI25" i="5" s="1"/>
  <c r="L26" i="5"/>
  <c r="S26" i="5" s="1"/>
  <c r="Z26" i="5" s="1"/>
  <c r="AG26" i="5" s="1"/>
  <c r="AN26" i="5" s="1"/>
  <c r="AU26" i="5" s="1"/>
  <c r="BB26" i="5" s="1"/>
  <c r="BI26" i="5" s="1"/>
  <c r="L27" i="5"/>
  <c r="S27" i="5" s="1"/>
  <c r="Z27" i="5" s="1"/>
  <c r="AG27" i="5" s="1"/>
  <c r="AN27" i="5" s="1"/>
  <c r="AU27" i="5" s="1"/>
  <c r="BB27" i="5" s="1"/>
  <c r="BI27" i="5" s="1"/>
  <c r="L28" i="5"/>
  <c r="S28" i="5" s="1"/>
  <c r="Z28" i="5" s="1"/>
  <c r="AG28" i="5" s="1"/>
  <c r="AN28" i="5" s="1"/>
  <c r="AU28" i="5" s="1"/>
  <c r="BB28" i="5" s="1"/>
  <c r="BI28" i="5" s="1"/>
  <c r="L29" i="5"/>
  <c r="S29" i="5" s="1"/>
  <c r="Z29" i="5" s="1"/>
  <c r="AG29" i="5" s="1"/>
  <c r="AN29" i="5" s="1"/>
  <c r="AU29" i="5" s="1"/>
  <c r="BB29" i="5" s="1"/>
  <c r="BI29" i="5" s="1"/>
  <c r="L30" i="5"/>
  <c r="S30" i="5" s="1"/>
  <c r="Z30" i="5" s="1"/>
  <c r="AG30" i="5" s="1"/>
  <c r="AN30" i="5" s="1"/>
  <c r="AU30" i="5" s="1"/>
  <c r="BB30" i="5" s="1"/>
  <c r="BI30" i="5" s="1"/>
  <c r="L31" i="5"/>
  <c r="S31" i="5" s="1"/>
  <c r="Z31" i="5" s="1"/>
  <c r="AG31" i="5" s="1"/>
  <c r="AN31" i="5" s="1"/>
  <c r="AU31" i="5" s="1"/>
  <c r="BB31" i="5" s="1"/>
  <c r="BI31" i="5" s="1"/>
  <c r="L32" i="5"/>
  <c r="S32" i="5" s="1"/>
  <c r="Z32" i="5" s="1"/>
  <c r="AG32" i="5" s="1"/>
  <c r="AN32" i="5" s="1"/>
  <c r="AU32" i="5" s="1"/>
  <c r="BB32" i="5" s="1"/>
  <c r="BI32" i="5" s="1"/>
  <c r="L33" i="5"/>
  <c r="S33" i="5" s="1"/>
  <c r="Z33" i="5" s="1"/>
  <c r="AG33" i="5" s="1"/>
  <c r="AN33" i="5" s="1"/>
  <c r="AU33" i="5" s="1"/>
  <c r="BB33" i="5" s="1"/>
  <c r="BI33" i="5" s="1"/>
  <c r="L34" i="5"/>
  <c r="S34" i="5" s="1"/>
  <c r="Z34" i="5" s="1"/>
  <c r="AG34" i="5" s="1"/>
  <c r="AN34" i="5" s="1"/>
  <c r="AU34" i="5" s="1"/>
  <c r="BB34" i="5" s="1"/>
  <c r="BI34" i="5" s="1"/>
  <c r="L35" i="5"/>
  <c r="S35" i="5" s="1"/>
  <c r="Z35" i="5" s="1"/>
  <c r="AG35" i="5" s="1"/>
  <c r="AN35" i="5" s="1"/>
  <c r="AU35" i="5" s="1"/>
  <c r="BB35" i="5" s="1"/>
  <c r="BI35" i="5" s="1"/>
  <c r="L36" i="5"/>
  <c r="L37" i="5"/>
  <c r="S37" i="5" s="1"/>
  <c r="Z37" i="5" s="1"/>
  <c r="AG37" i="5" s="1"/>
  <c r="AN37" i="5" s="1"/>
  <c r="AU37" i="5" s="1"/>
  <c r="BB37" i="5" s="1"/>
  <c r="BI37" i="5" s="1"/>
  <c r="L38" i="5"/>
  <c r="S38" i="5" s="1"/>
  <c r="Z38" i="5" s="1"/>
  <c r="AG38" i="5" s="1"/>
  <c r="AN38" i="5" s="1"/>
  <c r="AU38" i="5" s="1"/>
  <c r="BB38" i="5" s="1"/>
  <c r="BI38" i="5" s="1"/>
  <c r="L39" i="5"/>
  <c r="S39" i="5" s="1"/>
  <c r="Z39" i="5" s="1"/>
  <c r="AG39" i="5" s="1"/>
  <c r="AN39" i="5" s="1"/>
  <c r="AU39" i="5" s="1"/>
  <c r="BB39" i="5" s="1"/>
  <c r="BI39" i="5" s="1"/>
  <c r="L40" i="5"/>
  <c r="S40" i="5" s="1"/>
  <c r="Z40" i="5" s="1"/>
  <c r="AG40" i="5" s="1"/>
  <c r="AN40" i="5" s="1"/>
  <c r="AU40" i="5" s="1"/>
  <c r="BB40" i="5" s="1"/>
  <c r="BI40" i="5" s="1"/>
  <c r="L41" i="5"/>
  <c r="S41" i="5" s="1"/>
  <c r="Z41" i="5" s="1"/>
  <c r="AG41" i="5" s="1"/>
  <c r="AN41" i="5" s="1"/>
  <c r="AU41" i="5" s="1"/>
  <c r="BB41" i="5" s="1"/>
  <c r="BI41" i="5" s="1"/>
  <c r="L42" i="5"/>
  <c r="S42" i="5" s="1"/>
  <c r="Z42" i="5" s="1"/>
  <c r="AG42" i="5" s="1"/>
  <c r="AN42" i="5" s="1"/>
  <c r="AU42" i="5" s="1"/>
  <c r="BB42" i="5" s="1"/>
  <c r="BI42" i="5" s="1"/>
  <c r="L43" i="5"/>
  <c r="S43" i="5" s="1"/>
  <c r="Z43" i="5" s="1"/>
  <c r="AG43" i="5" s="1"/>
  <c r="AN43" i="5" s="1"/>
  <c r="AU43" i="5" s="1"/>
  <c r="BB43" i="5" s="1"/>
  <c r="BI43" i="5" s="1"/>
  <c r="L44" i="5"/>
  <c r="S44" i="5" s="1"/>
  <c r="Z44" i="5" s="1"/>
  <c r="AG44" i="5" s="1"/>
  <c r="AN44" i="5" s="1"/>
  <c r="AU44" i="5" s="1"/>
  <c r="BB44" i="5" s="1"/>
  <c r="BI44" i="5" s="1"/>
  <c r="L45" i="5"/>
  <c r="S45" i="5" s="1"/>
  <c r="Z45" i="5" s="1"/>
  <c r="AG45" i="5" s="1"/>
  <c r="AN45" i="5" s="1"/>
  <c r="AU45" i="5" s="1"/>
  <c r="BB45" i="5" s="1"/>
  <c r="BI45" i="5" s="1"/>
  <c r="L46" i="5"/>
  <c r="S46" i="5" s="1"/>
  <c r="Z46" i="5" s="1"/>
  <c r="AG46" i="5" s="1"/>
  <c r="AN46" i="5" s="1"/>
  <c r="AU46" i="5" s="1"/>
  <c r="BB46" i="5" s="1"/>
  <c r="BI46" i="5" s="1"/>
  <c r="L47" i="5"/>
  <c r="S47" i="5" s="1"/>
  <c r="Z47" i="5" s="1"/>
  <c r="AG47" i="5" s="1"/>
  <c r="AN47" i="5" s="1"/>
  <c r="AU47" i="5" s="1"/>
  <c r="BB47" i="5" s="1"/>
  <c r="BI47" i="5" s="1"/>
  <c r="I14" i="5"/>
  <c r="F14" i="5"/>
  <c r="E16" i="5" a="1"/>
  <c r="E16" i="5" s="1"/>
  <c r="E17" i="5" a="1"/>
  <c r="E17" i="5" s="1"/>
  <c r="H17" i="5" s="1"/>
  <c r="N17" i="5" s="1"/>
  <c r="U17" i="5" s="1"/>
  <c r="AB17" i="5" s="1"/>
  <c r="AI17" i="5" s="1"/>
  <c r="AP17" i="5" s="1"/>
  <c r="AW17" i="5" s="1"/>
  <c r="BD17" i="5" s="1"/>
  <c r="E18" i="5" a="1"/>
  <c r="E18" i="5" s="1"/>
  <c r="H18" i="5" s="1"/>
  <c r="E19" i="5" a="1"/>
  <c r="E19" i="5" s="1"/>
  <c r="E20" i="5" a="1"/>
  <c r="E20" i="5" s="1"/>
  <c r="E21" i="5" a="1"/>
  <c r="E21" i="5" s="1"/>
  <c r="H21" i="5" s="1"/>
  <c r="O21" i="5" s="1"/>
  <c r="V21" i="5" s="1"/>
  <c r="AC21" i="5" s="1"/>
  <c r="AJ21" i="5" s="1"/>
  <c r="AQ21" i="5" s="1"/>
  <c r="AX21" i="5" s="1"/>
  <c r="BE21" i="5" s="1"/>
  <c r="E22" i="5" a="1"/>
  <c r="E22" i="5" s="1"/>
  <c r="H22" i="5" s="1"/>
  <c r="O22" i="5" s="1"/>
  <c r="V22" i="5" s="1"/>
  <c r="AC22" i="5" s="1"/>
  <c r="AJ22" i="5" s="1"/>
  <c r="AQ22" i="5" s="1"/>
  <c r="AX22" i="5" s="1"/>
  <c r="BE22" i="5" s="1"/>
  <c r="E23" i="5" a="1"/>
  <c r="E23" i="5" s="1"/>
  <c r="E24" i="5" a="1"/>
  <c r="E24" i="5" s="1"/>
  <c r="E25" i="5" a="1"/>
  <c r="E25" i="5" s="1"/>
  <c r="H25" i="5" s="1"/>
  <c r="I25" i="5" s="1"/>
  <c r="P25" i="5" s="1"/>
  <c r="W25" i="5" s="1"/>
  <c r="AD25" i="5" s="1"/>
  <c r="AK25" i="5" s="1"/>
  <c r="AR25" i="5" s="1"/>
  <c r="AY25" i="5" s="1"/>
  <c r="BF25" i="5" s="1"/>
  <c r="E26" i="5" a="1"/>
  <c r="E26" i="5" s="1"/>
  <c r="H26" i="5" s="1"/>
  <c r="A26" i="5" s="1"/>
  <c r="BJ26" i="5" s="1"/>
  <c r="E27" i="5" a="1"/>
  <c r="E27" i="5" s="1"/>
  <c r="E28" i="5" a="1"/>
  <c r="E28" i="5" s="1"/>
  <c r="E29" i="5" a="1"/>
  <c r="E29" i="5" s="1"/>
  <c r="H29" i="5" s="1"/>
  <c r="I29" i="5" s="1"/>
  <c r="P29" i="5" s="1"/>
  <c r="W29" i="5" s="1"/>
  <c r="AD29" i="5" s="1"/>
  <c r="AK29" i="5" s="1"/>
  <c r="AR29" i="5" s="1"/>
  <c r="AY29" i="5" s="1"/>
  <c r="BF29" i="5" s="1"/>
  <c r="E30" i="5" a="1"/>
  <c r="E30" i="5" s="1"/>
  <c r="H30" i="5" s="1"/>
  <c r="O30" i="5" s="1"/>
  <c r="V30" i="5" s="1"/>
  <c r="AC30" i="5" s="1"/>
  <c r="AJ30" i="5" s="1"/>
  <c r="AQ30" i="5" s="1"/>
  <c r="AX30" i="5" s="1"/>
  <c r="BE30" i="5" s="1"/>
  <c r="E31" i="5" a="1"/>
  <c r="E31" i="5" s="1"/>
  <c r="E32" i="5" a="1"/>
  <c r="E32" i="5" s="1"/>
  <c r="E33" i="5" a="1"/>
  <c r="E33" i="5" s="1"/>
  <c r="H33" i="5" s="1"/>
  <c r="N33" i="5" s="1"/>
  <c r="U33" i="5" s="1"/>
  <c r="AB33" i="5" s="1"/>
  <c r="AI33" i="5" s="1"/>
  <c r="AP33" i="5" s="1"/>
  <c r="AW33" i="5" s="1"/>
  <c r="BD33" i="5" s="1"/>
  <c r="E34" i="5" a="1"/>
  <c r="E34" i="5" s="1"/>
  <c r="H34" i="5" s="1"/>
  <c r="E35" i="5" a="1"/>
  <c r="E35" i="5" s="1"/>
  <c r="E36" i="5" a="1"/>
  <c r="E36" i="5" s="1"/>
  <c r="E37" i="5" a="1"/>
  <c r="E37" i="5" s="1"/>
  <c r="H37" i="5" s="1"/>
  <c r="O37" i="5" s="1"/>
  <c r="V37" i="5" s="1"/>
  <c r="AC37" i="5" s="1"/>
  <c r="AJ37" i="5" s="1"/>
  <c r="AQ37" i="5" s="1"/>
  <c r="AX37" i="5" s="1"/>
  <c r="BE37" i="5" s="1"/>
  <c r="E38" i="5" a="1"/>
  <c r="E38" i="5" s="1"/>
  <c r="H38" i="5" s="1"/>
  <c r="O38" i="5" s="1"/>
  <c r="V38" i="5" s="1"/>
  <c r="AC38" i="5" s="1"/>
  <c r="AJ38" i="5" s="1"/>
  <c r="AQ38" i="5" s="1"/>
  <c r="AX38" i="5" s="1"/>
  <c r="BE38" i="5" s="1"/>
  <c r="E39" i="5" a="1"/>
  <c r="E39" i="5" s="1"/>
  <c r="E40" i="5" a="1"/>
  <c r="E40" i="5" s="1"/>
  <c r="E41" i="5" a="1"/>
  <c r="E41" i="5" s="1"/>
  <c r="H41" i="5" s="1"/>
  <c r="I41" i="5" s="1"/>
  <c r="P41" i="5" s="1"/>
  <c r="W41" i="5" s="1"/>
  <c r="AD41" i="5" s="1"/>
  <c r="AK41" i="5" s="1"/>
  <c r="AR41" i="5" s="1"/>
  <c r="AY41" i="5" s="1"/>
  <c r="BF41" i="5" s="1"/>
  <c r="E42" i="5" a="1"/>
  <c r="E42" i="5" s="1"/>
  <c r="H42" i="5" s="1"/>
  <c r="E43" i="5" a="1"/>
  <c r="E43" i="5" s="1"/>
  <c r="H43" i="5" s="1"/>
  <c r="E44" i="5" a="1"/>
  <c r="E44" i="5" s="1"/>
  <c r="E45" i="5" a="1"/>
  <c r="E45" i="5" s="1"/>
  <c r="H45" i="5" s="1"/>
  <c r="I45" i="5" s="1"/>
  <c r="P45" i="5" s="1"/>
  <c r="W45" i="5" s="1"/>
  <c r="AD45" i="5" s="1"/>
  <c r="AK45" i="5" s="1"/>
  <c r="AR45" i="5" s="1"/>
  <c r="AY45" i="5" s="1"/>
  <c r="BF45" i="5" s="1"/>
  <c r="E46" i="5" a="1"/>
  <c r="E46" i="5" s="1"/>
  <c r="H46" i="5" s="1"/>
  <c r="O46" i="5" s="1"/>
  <c r="V46" i="5" s="1"/>
  <c r="AC46" i="5" s="1"/>
  <c r="AJ46" i="5" s="1"/>
  <c r="AQ46" i="5" s="1"/>
  <c r="AX46" i="5" s="1"/>
  <c r="BE46" i="5" s="1"/>
  <c r="E47" i="5" a="1"/>
  <c r="E47" i="5" s="1"/>
  <c r="H47" i="5" s="1"/>
  <c r="I47" i="5" s="1"/>
  <c r="P47" i="5" s="1"/>
  <c r="W47" i="5" s="1"/>
  <c r="AD47" i="5" s="1"/>
  <c r="AK47" i="5" s="1"/>
  <c r="AR47" i="5" s="1"/>
  <c r="AY47" i="5" s="1"/>
  <c r="BF47" i="5" s="1"/>
  <c r="E15" i="5" a="1"/>
  <c r="E15" i="5" s="1"/>
  <c r="G33" i="5"/>
  <c r="R5" i="5"/>
  <c r="R7" i="5"/>
  <c r="B2" i="2"/>
  <c r="Q4" i="5" s="1"/>
  <c r="R4" i="5" s="1"/>
  <c r="AV7" i="5"/>
  <c r="AS7" i="5"/>
  <c r="AP7" i="5"/>
  <c r="AM7" i="5"/>
  <c r="AJ7" i="5"/>
  <c r="AG7" i="5"/>
  <c r="AD7" i="5"/>
  <c r="AA7" i="5"/>
  <c r="X7" i="5"/>
  <c r="U7" i="5"/>
  <c r="O7" i="5"/>
  <c r="L7" i="5"/>
  <c r="I7" i="5"/>
  <c r="F7" i="5"/>
  <c r="B7" i="5"/>
  <c r="Q6" i="5"/>
  <c r="R6" i="5" s="1"/>
  <c r="N6" i="5"/>
  <c r="O6" i="5" s="1"/>
  <c r="H6" i="5"/>
  <c r="I6" i="5" s="1"/>
  <c r="F6" i="5"/>
  <c r="B6" i="5"/>
  <c r="O5" i="5"/>
  <c r="L5" i="5"/>
  <c r="I5" i="5"/>
  <c r="F5" i="5"/>
  <c r="B5" i="5"/>
  <c r="O4" i="5"/>
  <c r="L4" i="5"/>
  <c r="I4" i="5"/>
  <c r="E4" i="5"/>
  <c r="F4" i="5" s="1"/>
  <c r="B4" i="5"/>
  <c r="R3" i="5"/>
  <c r="O3" i="5"/>
  <c r="L3" i="5"/>
  <c r="I3" i="5"/>
  <c r="F3" i="5"/>
  <c r="B3" i="5"/>
  <c r="Z36" i="2" l="1"/>
  <c r="Z31" i="2"/>
  <c r="AP20" i="2"/>
  <c r="AQ20" i="2" s="1"/>
  <c r="AP17" i="2"/>
  <c r="AQ17" i="2" s="1"/>
  <c r="AF14" i="2"/>
  <c r="Z54" i="2"/>
  <c r="AF69" i="2"/>
  <c r="AH50" i="2"/>
  <c r="Z39" i="2"/>
  <c r="AB27" i="2"/>
  <c r="AB16" i="2"/>
  <c r="AF75" i="2"/>
  <c r="AF74" i="2"/>
  <c r="AF58" i="2"/>
  <c r="AK28" i="2"/>
  <c r="AI25" i="2"/>
  <c r="AH65" i="2"/>
  <c r="AI54" i="2"/>
  <c r="AK53" i="2"/>
  <c r="AK43" i="2"/>
  <c r="AK37" i="2"/>
  <c r="AH67" i="2"/>
  <c r="AF60" i="2"/>
  <c r="AF56" i="2"/>
  <c r="AH51" i="2"/>
  <c r="AI50" i="2"/>
  <c r="AH49" i="2"/>
  <c r="AI41" i="2"/>
  <c r="AI35" i="2"/>
  <c r="AI34" i="2"/>
  <c r="AF12" i="2"/>
  <c r="AK74" i="2"/>
  <c r="AH72" i="2"/>
  <c r="AH71" i="2"/>
  <c r="AI42" i="2"/>
  <c r="AK33" i="2"/>
  <c r="AK24" i="2"/>
  <c r="AI76" i="2"/>
  <c r="AF61" i="2"/>
  <c r="Z57" i="2"/>
  <c r="AI56" i="2"/>
  <c r="Z49" i="2"/>
  <c r="AF47" i="2"/>
  <c r="Z37" i="2"/>
  <c r="Z35" i="2"/>
  <c r="AI29" i="2"/>
  <c r="AI26" i="2"/>
  <c r="AI22" i="2"/>
  <c r="Z76" i="2"/>
  <c r="AK73" i="2"/>
  <c r="AF66" i="2"/>
  <c r="AF64" i="2"/>
  <c r="AF57" i="2"/>
  <c r="AI55" i="2"/>
  <c r="Z53" i="2"/>
  <c r="Z52" i="2"/>
  <c r="AI48" i="2"/>
  <c r="AB48" i="2"/>
  <c r="AK47" i="2"/>
  <c r="AB38" i="2"/>
  <c r="AK36" i="2"/>
  <c r="AK32" i="2"/>
  <c r="AI30" i="2"/>
  <c r="Z28" i="2"/>
  <c r="Z24" i="2"/>
  <c r="AP18" i="2"/>
  <c r="AQ18" i="2" s="1"/>
  <c r="AH18" i="2"/>
  <c r="AF10" i="2"/>
  <c r="AH62" i="2"/>
  <c r="AH55" i="2"/>
  <c r="AP52" i="2"/>
  <c r="AQ52" i="2" s="1"/>
  <c r="AH48" i="2"/>
  <c r="AO47" i="2"/>
  <c r="AB46" i="2"/>
  <c r="AB45" i="2"/>
  <c r="AK75" i="2"/>
  <c r="AH73" i="2"/>
  <c r="AB73" i="2"/>
  <c r="AH70" i="2"/>
  <c r="AH68" i="2"/>
  <c r="AH63" i="2"/>
  <c r="AH59" i="2"/>
  <c r="AH44" i="2"/>
  <c r="AF44" i="2"/>
  <c r="AH54" i="2"/>
  <c r="AI52" i="2"/>
  <c r="Z51" i="2"/>
  <c r="AI45" i="2"/>
  <c r="AF43" i="2"/>
  <c r="AB42" i="2"/>
  <c r="Z41" i="2"/>
  <c r="Z40" i="2"/>
  <c r="AI39" i="2"/>
  <c r="AI38" i="2"/>
  <c r="Z33" i="2"/>
  <c r="AI31" i="2"/>
  <c r="Z29" i="2"/>
  <c r="AI27" i="2"/>
  <c r="Z25" i="2"/>
  <c r="AI23" i="2"/>
  <c r="AB75" i="2"/>
  <c r="Z56" i="2"/>
  <c r="AH52" i="2"/>
  <c r="AK49" i="2"/>
  <c r="AI17" i="2"/>
  <c r="AK17" i="2"/>
  <c r="AI15" i="2"/>
  <c r="AK15" i="2"/>
  <c r="AB74" i="2"/>
  <c r="AK72" i="2"/>
  <c r="AH53" i="2"/>
  <c r="AB50" i="2"/>
  <c r="AI46" i="2"/>
  <c r="AB44" i="2"/>
  <c r="Z44" i="2"/>
  <c r="AK40" i="2"/>
  <c r="AB34" i="2"/>
  <c r="AB30" i="2"/>
  <c r="AB26" i="2"/>
  <c r="AB22" i="2"/>
  <c r="AH13" i="2"/>
  <c r="AH11" i="2"/>
  <c r="AH9" i="2"/>
  <c r="AH16" i="2"/>
  <c r="AP73" i="2"/>
  <c r="AQ73" i="2" s="1"/>
  <c r="AP61" i="2"/>
  <c r="AQ61" i="2" s="1"/>
  <c r="AP46" i="2"/>
  <c r="AQ46" i="2" s="1"/>
  <c r="AP57" i="2"/>
  <c r="AQ57" i="2" s="1"/>
  <c r="AP16" i="2"/>
  <c r="AQ16" i="2" s="1"/>
  <c r="AO76" i="2"/>
  <c r="AP72" i="2"/>
  <c r="AQ72" i="2" s="1"/>
  <c r="AP62" i="2"/>
  <c r="AQ62" i="2" s="1"/>
  <c r="AP58" i="2"/>
  <c r="AQ58" i="2" s="1"/>
  <c r="AP48" i="2"/>
  <c r="AQ48" i="2" s="1"/>
  <c r="AP45" i="2"/>
  <c r="AQ45" i="2" s="1"/>
  <c r="AP41" i="2"/>
  <c r="AQ41" i="2" s="1"/>
  <c r="AP39" i="2"/>
  <c r="AQ39" i="2" s="1"/>
  <c r="AP37" i="2"/>
  <c r="AQ37" i="2" s="1"/>
  <c r="AP35" i="2"/>
  <c r="AQ35" i="2" s="1"/>
  <c r="AP33" i="2"/>
  <c r="AQ33" i="2" s="1"/>
  <c r="AP31" i="2"/>
  <c r="AQ31" i="2" s="1"/>
  <c r="AP29" i="2"/>
  <c r="AQ29" i="2" s="1"/>
  <c r="AP27" i="2"/>
  <c r="AQ27" i="2" s="1"/>
  <c r="AP25" i="2"/>
  <c r="AQ25" i="2" s="1"/>
  <c r="AP23" i="2"/>
  <c r="AQ23" i="2" s="1"/>
  <c r="AP51" i="2"/>
  <c r="AQ51" i="2" s="1"/>
  <c r="AP44" i="2"/>
  <c r="AQ44" i="2" s="1"/>
  <c r="AO74" i="2"/>
  <c r="BD74" i="2" s="1"/>
  <c r="AP43" i="2"/>
  <c r="AQ43" i="2" s="1"/>
  <c r="AO75" i="2"/>
  <c r="AP60" i="2"/>
  <c r="AQ60" i="2" s="1"/>
  <c r="AP53" i="2"/>
  <c r="AQ53" i="2" s="1"/>
  <c r="AP49" i="2"/>
  <c r="AQ49" i="2" s="1"/>
  <c r="AP42" i="2"/>
  <c r="AQ42" i="2" s="1"/>
  <c r="AP40" i="2"/>
  <c r="AQ40" i="2" s="1"/>
  <c r="AP38" i="2"/>
  <c r="AQ38" i="2" s="1"/>
  <c r="AP36" i="2"/>
  <c r="AQ36" i="2" s="1"/>
  <c r="AP34" i="2"/>
  <c r="AQ34" i="2" s="1"/>
  <c r="AP32" i="2"/>
  <c r="AQ32" i="2" s="1"/>
  <c r="AP30" i="2"/>
  <c r="AQ30" i="2" s="1"/>
  <c r="AP28" i="2"/>
  <c r="AQ28" i="2" s="1"/>
  <c r="AP26" i="2"/>
  <c r="AQ26" i="2" s="1"/>
  <c r="AP24" i="2"/>
  <c r="AQ24" i="2" s="1"/>
  <c r="AP22" i="2"/>
  <c r="AQ22" i="2" s="1"/>
  <c r="AO8" i="2"/>
  <c r="AP71" i="2"/>
  <c r="AQ71" i="2" s="1"/>
  <c r="AP67" i="2"/>
  <c r="AQ67" i="2" s="1"/>
  <c r="AP63" i="2"/>
  <c r="AQ63" i="2" s="1"/>
  <c r="AP59" i="2"/>
  <c r="AQ59" i="2" s="1"/>
  <c r="AP19" i="2"/>
  <c r="AQ19" i="2" s="1"/>
  <c r="AP69" i="2"/>
  <c r="AQ69" i="2" s="1"/>
  <c r="AP65" i="2"/>
  <c r="AQ65" i="2" s="1"/>
  <c r="AP56" i="2"/>
  <c r="AQ56" i="2" s="1"/>
  <c r="AP54" i="2"/>
  <c r="AQ54" i="2" s="1"/>
  <c r="AP50" i="2"/>
  <c r="AQ50" i="2" s="1"/>
  <c r="AP14" i="2"/>
  <c r="AQ14" i="2" s="1"/>
  <c r="AP10" i="2"/>
  <c r="AQ10" i="2" s="1"/>
  <c r="AP6" i="2"/>
  <c r="AQ6" i="2" s="1"/>
  <c r="AH6" i="2"/>
  <c r="Z72" i="2"/>
  <c r="AB72" i="2"/>
  <c r="P8" i="2"/>
  <c r="AF76" i="2"/>
  <c r="Z71" i="2"/>
  <c r="AB71" i="2"/>
  <c r="AP70" i="2"/>
  <c r="AQ70" i="2" s="1"/>
  <c r="AI70" i="2"/>
  <c r="AK70" i="2"/>
  <c r="Z67" i="2"/>
  <c r="AB67" i="2"/>
  <c r="AP66" i="2"/>
  <c r="AQ66" i="2" s="1"/>
  <c r="AI66" i="2"/>
  <c r="AK66" i="2"/>
  <c r="AB47" i="2"/>
  <c r="Z47" i="2"/>
  <c r="AO21" i="2"/>
  <c r="AP21" i="2"/>
  <c r="AQ21" i="2" s="1"/>
  <c r="Z21" i="2"/>
  <c r="AB21" i="2"/>
  <c r="AO15" i="2"/>
  <c r="AP15" i="2"/>
  <c r="AQ15" i="2" s="1"/>
  <c r="AO13" i="2"/>
  <c r="AP13" i="2"/>
  <c r="AQ13" i="2" s="1"/>
  <c r="Z11" i="2"/>
  <c r="AB11" i="2"/>
  <c r="Z68" i="2"/>
  <c r="AB68" i="2"/>
  <c r="AK44" i="2"/>
  <c r="AI44" i="2"/>
  <c r="AI69" i="2"/>
  <c r="AK69" i="2"/>
  <c r="Z66" i="2"/>
  <c r="AB66" i="2"/>
  <c r="AI65" i="2"/>
  <c r="AK65" i="2"/>
  <c r="AP55" i="2"/>
  <c r="AQ55" i="2" s="1"/>
  <c r="AH46" i="2"/>
  <c r="AF46" i="2"/>
  <c r="AH41" i="2"/>
  <c r="AF41" i="2"/>
  <c r="AH39" i="2"/>
  <c r="AF39" i="2"/>
  <c r="AH37" i="2"/>
  <c r="AF37" i="2"/>
  <c r="AH35" i="2"/>
  <c r="AF35" i="2"/>
  <c r="AH33" i="2"/>
  <c r="AF33" i="2"/>
  <c r="AH31" i="2"/>
  <c r="AF31" i="2"/>
  <c r="AH29" i="2"/>
  <c r="AF29" i="2"/>
  <c r="AH27" i="2"/>
  <c r="AF27" i="2"/>
  <c r="AH25" i="2"/>
  <c r="AF25" i="2"/>
  <c r="AH23" i="2"/>
  <c r="AF23" i="2"/>
  <c r="AE16" i="2"/>
  <c r="AI71" i="2"/>
  <c r="AK71" i="2"/>
  <c r="AI67" i="2"/>
  <c r="AK67" i="2"/>
  <c r="Z64" i="2"/>
  <c r="AB64" i="2"/>
  <c r="Z70" i="2"/>
  <c r="AB70" i="2"/>
  <c r="Z69" i="2"/>
  <c r="AB69" i="2"/>
  <c r="AP68" i="2"/>
  <c r="AQ68" i="2" s="1"/>
  <c r="AI68" i="2"/>
  <c r="AK68" i="2"/>
  <c r="Z65" i="2"/>
  <c r="AB65" i="2"/>
  <c r="AP64" i="2"/>
  <c r="AQ64" i="2" s="1"/>
  <c r="AI64" i="2"/>
  <c r="AK64" i="2"/>
  <c r="AB43" i="2"/>
  <c r="Z43" i="2"/>
  <c r="AI18" i="2"/>
  <c r="AK18" i="2"/>
  <c r="Z17" i="2"/>
  <c r="AB17" i="2"/>
  <c r="AK63" i="2"/>
  <c r="AB63" i="2"/>
  <c r="AK62" i="2"/>
  <c r="AB62" i="2"/>
  <c r="AK61" i="2"/>
  <c r="AB61" i="2"/>
  <c r="AK60" i="2"/>
  <c r="AB60" i="2"/>
  <c r="AK59" i="2"/>
  <c r="AB59" i="2"/>
  <c r="AK58" i="2"/>
  <c r="AB58" i="2"/>
  <c r="AK57" i="2"/>
  <c r="AH19" i="2"/>
  <c r="AF19" i="2"/>
  <c r="AI16" i="2"/>
  <c r="AK16" i="2"/>
  <c r="Z15" i="2"/>
  <c r="AB15" i="2"/>
  <c r="AO9" i="2"/>
  <c r="AP9" i="2"/>
  <c r="AQ9" i="2" s="1"/>
  <c r="AF45" i="2"/>
  <c r="AH42" i="2"/>
  <c r="AF42" i="2"/>
  <c r="AH40" i="2"/>
  <c r="AF40" i="2"/>
  <c r="AH38" i="2"/>
  <c r="AF38" i="2"/>
  <c r="AH36" i="2"/>
  <c r="AF36" i="2"/>
  <c r="AH34" i="2"/>
  <c r="AF34" i="2"/>
  <c r="AH32" i="2"/>
  <c r="AF32" i="2"/>
  <c r="AH30" i="2"/>
  <c r="AF30" i="2"/>
  <c r="AH28" i="2"/>
  <c r="AF28" i="2"/>
  <c r="AH26" i="2"/>
  <c r="AF26" i="2"/>
  <c r="AH24" i="2"/>
  <c r="AF24" i="2"/>
  <c r="AH22" i="2"/>
  <c r="AF22" i="2"/>
  <c r="AH21" i="2"/>
  <c r="AF21" i="2"/>
  <c r="O21" i="2"/>
  <c r="P21" i="2" s="1"/>
  <c r="O19" i="2"/>
  <c r="P19" i="2" s="1"/>
  <c r="AH17" i="2"/>
  <c r="AF17" i="2"/>
  <c r="AI14" i="2"/>
  <c r="AK14" i="2"/>
  <c r="AI20" i="2"/>
  <c r="AK20" i="2"/>
  <c r="Z19" i="2"/>
  <c r="AB19" i="2"/>
  <c r="AH15" i="2"/>
  <c r="AF15" i="2"/>
  <c r="AI10" i="2"/>
  <c r="AK10" i="2"/>
  <c r="AK21" i="2"/>
  <c r="AH20" i="2"/>
  <c r="AB20" i="2"/>
  <c r="AK19" i="2"/>
  <c r="Z14" i="2"/>
  <c r="AB14" i="2"/>
  <c r="AI13" i="2"/>
  <c r="AK13" i="2"/>
  <c r="Z10" i="2"/>
  <c r="AB10" i="2"/>
  <c r="AI9" i="2"/>
  <c r="AK9" i="2"/>
  <c r="Z13" i="2"/>
  <c r="AB13" i="2"/>
  <c r="AP12" i="2"/>
  <c r="AQ12" i="2" s="1"/>
  <c r="AI12" i="2"/>
  <c r="AK12" i="2"/>
  <c r="Z9" i="2"/>
  <c r="AB9" i="2"/>
  <c r="Z12" i="2"/>
  <c r="AB12" i="2"/>
  <c r="AP11" i="2"/>
  <c r="AQ11" i="2" s="1"/>
  <c r="AI11" i="2"/>
  <c r="AK11" i="2"/>
  <c r="AH8" i="2"/>
  <c r="AK8" i="2"/>
  <c r="AB8" i="2"/>
  <c r="P6" i="2"/>
  <c r="AK6" i="2"/>
  <c r="AB6" i="2"/>
  <c r="K6" i="5"/>
  <c r="L6" i="5" s="1"/>
  <c r="D33" i="5"/>
  <c r="B33" i="5"/>
  <c r="D22" i="5"/>
  <c r="A22" i="5"/>
  <c r="D17" i="5"/>
  <c r="F43" i="5"/>
  <c r="N45" i="5"/>
  <c r="U45" i="5" s="1"/>
  <c r="AB45" i="5" s="1"/>
  <c r="AI45" i="5" s="1"/>
  <c r="AP45" i="5" s="1"/>
  <c r="AW45" i="5" s="1"/>
  <c r="BD45" i="5" s="1"/>
  <c r="O17" i="5"/>
  <c r="V17" i="5" s="1"/>
  <c r="AC17" i="5" s="1"/>
  <c r="AJ17" i="5" s="1"/>
  <c r="AQ17" i="5" s="1"/>
  <c r="AX17" i="5" s="1"/>
  <c r="BE17" i="5" s="1"/>
  <c r="F37" i="5"/>
  <c r="N37" i="5"/>
  <c r="U37" i="5" s="1"/>
  <c r="AB37" i="5" s="1"/>
  <c r="AI37" i="5" s="1"/>
  <c r="AP37" i="5" s="1"/>
  <c r="AW37" i="5" s="1"/>
  <c r="BD37" i="5" s="1"/>
  <c r="O41" i="5"/>
  <c r="V41" i="5" s="1"/>
  <c r="AC41" i="5" s="1"/>
  <c r="AJ41" i="5" s="1"/>
  <c r="AQ41" i="5" s="1"/>
  <c r="AX41" i="5" s="1"/>
  <c r="BE41" i="5" s="1"/>
  <c r="F29" i="5"/>
  <c r="N29" i="5"/>
  <c r="U29" i="5" s="1"/>
  <c r="AB29" i="5" s="1"/>
  <c r="AI29" i="5" s="1"/>
  <c r="AP29" i="5" s="1"/>
  <c r="AW29" i="5" s="1"/>
  <c r="BD29" i="5" s="1"/>
  <c r="O33" i="5"/>
  <c r="V33" i="5" s="1"/>
  <c r="AC33" i="5" s="1"/>
  <c r="AJ33" i="5" s="1"/>
  <c r="AQ33" i="5" s="1"/>
  <c r="AX33" i="5" s="1"/>
  <c r="BE33" i="5" s="1"/>
  <c r="F21" i="5"/>
  <c r="N21" i="5"/>
  <c r="U21" i="5" s="1"/>
  <c r="AB21" i="5" s="1"/>
  <c r="AI21" i="5" s="1"/>
  <c r="AP21" i="5" s="1"/>
  <c r="AW21" i="5" s="1"/>
  <c r="BD21" i="5" s="1"/>
  <c r="O25" i="5"/>
  <c r="V25" i="5" s="1"/>
  <c r="AC25" i="5" s="1"/>
  <c r="AJ25" i="5" s="1"/>
  <c r="AQ25" i="5" s="1"/>
  <c r="AX25" i="5" s="1"/>
  <c r="BE25" i="5" s="1"/>
  <c r="AW4" i="5"/>
  <c r="H40" i="5"/>
  <c r="G40" i="5" s="1"/>
  <c r="F40" i="5"/>
  <c r="H24" i="5"/>
  <c r="G24" i="5" s="1"/>
  <c r="F24" i="5"/>
  <c r="O47" i="5"/>
  <c r="V47" i="5" s="1"/>
  <c r="AC47" i="5" s="1"/>
  <c r="AJ47" i="5" s="1"/>
  <c r="AQ47" i="5" s="1"/>
  <c r="AX47" i="5" s="1"/>
  <c r="BE47" i="5" s="1"/>
  <c r="N47" i="5"/>
  <c r="U47" i="5" s="1"/>
  <c r="AB47" i="5" s="1"/>
  <c r="AI47" i="5" s="1"/>
  <c r="AP47" i="5" s="1"/>
  <c r="AW47" i="5" s="1"/>
  <c r="BD47" i="5" s="1"/>
  <c r="O43" i="5"/>
  <c r="V43" i="5" s="1"/>
  <c r="AC43" i="5" s="1"/>
  <c r="AJ43" i="5" s="1"/>
  <c r="AQ43" i="5" s="1"/>
  <c r="AX43" i="5" s="1"/>
  <c r="BE43" i="5" s="1"/>
  <c r="N43" i="5"/>
  <c r="U43" i="5" s="1"/>
  <c r="AB43" i="5" s="1"/>
  <c r="AI43" i="5" s="1"/>
  <c r="AP43" i="5" s="1"/>
  <c r="AW43" i="5" s="1"/>
  <c r="BD43" i="5" s="1"/>
  <c r="H39" i="5"/>
  <c r="C39" i="5" s="1"/>
  <c r="F39" i="5"/>
  <c r="H35" i="5"/>
  <c r="A35" i="5" s="1"/>
  <c r="BJ35" i="5" s="1"/>
  <c r="F35" i="5"/>
  <c r="H31" i="5"/>
  <c r="G31" i="5" s="1"/>
  <c r="F31" i="5"/>
  <c r="H27" i="5"/>
  <c r="J27" i="5" s="1"/>
  <c r="Q27" i="5" s="1"/>
  <c r="X27" i="5" s="1"/>
  <c r="AE27" i="5" s="1"/>
  <c r="AL27" i="5" s="1"/>
  <c r="AS27" i="5" s="1"/>
  <c r="AZ27" i="5" s="1"/>
  <c r="BG27" i="5" s="1"/>
  <c r="F27" i="5"/>
  <c r="H23" i="5"/>
  <c r="K23" i="5" s="1"/>
  <c r="F23" i="5"/>
  <c r="H19" i="5"/>
  <c r="K19" i="5" s="1"/>
  <c r="F19" i="5"/>
  <c r="F47" i="5"/>
  <c r="F42" i="5"/>
  <c r="F34" i="5"/>
  <c r="F26" i="5"/>
  <c r="F18" i="5"/>
  <c r="H15" i="5"/>
  <c r="D15" i="5" s="1"/>
  <c r="F15" i="5"/>
  <c r="H36" i="5"/>
  <c r="G36" i="5" s="1"/>
  <c r="F36" i="5"/>
  <c r="H28" i="5"/>
  <c r="D28" i="5" s="1"/>
  <c r="F28" i="5"/>
  <c r="N46" i="5"/>
  <c r="U46" i="5" s="1"/>
  <c r="AB46" i="5" s="1"/>
  <c r="AI46" i="5" s="1"/>
  <c r="AP46" i="5" s="1"/>
  <c r="AW46" i="5" s="1"/>
  <c r="BD46" i="5" s="1"/>
  <c r="I46" i="5"/>
  <c r="P46" i="5" s="1"/>
  <c r="W46" i="5" s="1"/>
  <c r="AD46" i="5" s="1"/>
  <c r="AK46" i="5" s="1"/>
  <c r="AR46" i="5" s="1"/>
  <c r="AY46" i="5" s="1"/>
  <c r="BF46" i="5" s="1"/>
  <c r="D42" i="5"/>
  <c r="N42" i="5"/>
  <c r="U42" i="5" s="1"/>
  <c r="AB42" i="5" s="1"/>
  <c r="AI42" i="5" s="1"/>
  <c r="AP42" i="5" s="1"/>
  <c r="AW42" i="5" s="1"/>
  <c r="BD42" i="5" s="1"/>
  <c r="I42" i="5"/>
  <c r="P42" i="5" s="1"/>
  <c r="W42" i="5" s="1"/>
  <c r="AD42" i="5" s="1"/>
  <c r="AK42" i="5" s="1"/>
  <c r="AR42" i="5" s="1"/>
  <c r="AY42" i="5" s="1"/>
  <c r="BF42" i="5" s="1"/>
  <c r="N38" i="5"/>
  <c r="U38" i="5" s="1"/>
  <c r="AB38" i="5" s="1"/>
  <c r="AI38" i="5" s="1"/>
  <c r="AP38" i="5" s="1"/>
  <c r="AW38" i="5" s="1"/>
  <c r="BD38" i="5" s="1"/>
  <c r="I38" i="5"/>
  <c r="P38" i="5" s="1"/>
  <c r="W38" i="5" s="1"/>
  <c r="AD38" i="5" s="1"/>
  <c r="AK38" i="5" s="1"/>
  <c r="AR38" i="5" s="1"/>
  <c r="AY38" i="5" s="1"/>
  <c r="BF38" i="5" s="1"/>
  <c r="N34" i="5"/>
  <c r="U34" i="5" s="1"/>
  <c r="AB34" i="5" s="1"/>
  <c r="AI34" i="5" s="1"/>
  <c r="AP34" i="5" s="1"/>
  <c r="AW34" i="5" s="1"/>
  <c r="BD34" i="5" s="1"/>
  <c r="I34" i="5"/>
  <c r="P34" i="5" s="1"/>
  <c r="W34" i="5" s="1"/>
  <c r="AD34" i="5" s="1"/>
  <c r="AK34" i="5" s="1"/>
  <c r="AR34" i="5" s="1"/>
  <c r="AY34" i="5" s="1"/>
  <c r="BF34" i="5" s="1"/>
  <c r="N30" i="5"/>
  <c r="U30" i="5" s="1"/>
  <c r="AB30" i="5" s="1"/>
  <c r="AI30" i="5" s="1"/>
  <c r="AP30" i="5" s="1"/>
  <c r="AW30" i="5" s="1"/>
  <c r="BD30" i="5" s="1"/>
  <c r="I30" i="5"/>
  <c r="P30" i="5" s="1"/>
  <c r="W30" i="5" s="1"/>
  <c r="AD30" i="5" s="1"/>
  <c r="AK30" i="5" s="1"/>
  <c r="AR30" i="5" s="1"/>
  <c r="AY30" i="5" s="1"/>
  <c r="BF30" i="5" s="1"/>
  <c r="J26" i="5"/>
  <c r="Q26" i="5" s="1"/>
  <c r="X26" i="5" s="1"/>
  <c r="AE26" i="5" s="1"/>
  <c r="AL26" i="5" s="1"/>
  <c r="AS26" i="5" s="1"/>
  <c r="AZ26" i="5" s="1"/>
  <c r="BG26" i="5" s="1"/>
  <c r="N26" i="5"/>
  <c r="U26" i="5" s="1"/>
  <c r="AB26" i="5" s="1"/>
  <c r="AI26" i="5" s="1"/>
  <c r="AP26" i="5" s="1"/>
  <c r="AW26" i="5" s="1"/>
  <c r="BD26" i="5" s="1"/>
  <c r="I26" i="5"/>
  <c r="P26" i="5" s="1"/>
  <c r="W26" i="5" s="1"/>
  <c r="AD26" i="5" s="1"/>
  <c r="AK26" i="5" s="1"/>
  <c r="AR26" i="5" s="1"/>
  <c r="AY26" i="5" s="1"/>
  <c r="BF26" i="5" s="1"/>
  <c r="N22" i="5"/>
  <c r="U22" i="5" s="1"/>
  <c r="AB22" i="5" s="1"/>
  <c r="AI22" i="5" s="1"/>
  <c r="AP22" i="5" s="1"/>
  <c r="AW22" i="5" s="1"/>
  <c r="BD22" i="5" s="1"/>
  <c r="I22" i="5"/>
  <c r="P22" i="5" s="1"/>
  <c r="W22" i="5" s="1"/>
  <c r="AD22" i="5" s="1"/>
  <c r="AK22" i="5" s="1"/>
  <c r="AR22" i="5" s="1"/>
  <c r="AY22" i="5" s="1"/>
  <c r="BF22" i="5" s="1"/>
  <c r="N18" i="5"/>
  <c r="U18" i="5" s="1"/>
  <c r="AB18" i="5" s="1"/>
  <c r="AI18" i="5" s="1"/>
  <c r="AP18" i="5" s="1"/>
  <c r="AW18" i="5" s="1"/>
  <c r="BD18" i="5" s="1"/>
  <c r="I18" i="5"/>
  <c r="P18" i="5" s="1"/>
  <c r="W18" i="5" s="1"/>
  <c r="AD18" i="5" s="1"/>
  <c r="AK18" i="5" s="1"/>
  <c r="AR18" i="5" s="1"/>
  <c r="AY18" i="5" s="1"/>
  <c r="BF18" i="5" s="1"/>
  <c r="F46" i="5"/>
  <c r="F41" i="5"/>
  <c r="F33" i="5"/>
  <c r="F25" i="5"/>
  <c r="F17" i="5"/>
  <c r="I43" i="5"/>
  <c r="P43" i="5" s="1"/>
  <c r="W43" i="5" s="1"/>
  <c r="AD43" i="5" s="1"/>
  <c r="AK43" i="5" s="1"/>
  <c r="AR43" i="5" s="1"/>
  <c r="AY43" i="5" s="1"/>
  <c r="BF43" i="5" s="1"/>
  <c r="N41" i="5"/>
  <c r="U41" i="5" s="1"/>
  <c r="AB41" i="5" s="1"/>
  <c r="AI41" i="5" s="1"/>
  <c r="AP41" i="5" s="1"/>
  <c r="AW41" i="5" s="1"/>
  <c r="BD41" i="5" s="1"/>
  <c r="N25" i="5"/>
  <c r="U25" i="5" s="1"/>
  <c r="AB25" i="5" s="1"/>
  <c r="AI25" i="5" s="1"/>
  <c r="AP25" i="5" s="1"/>
  <c r="AW25" i="5" s="1"/>
  <c r="BD25" i="5" s="1"/>
  <c r="O45" i="5"/>
  <c r="V45" i="5" s="1"/>
  <c r="AC45" i="5" s="1"/>
  <c r="AJ45" i="5" s="1"/>
  <c r="AQ45" i="5" s="1"/>
  <c r="AX45" i="5" s="1"/>
  <c r="BE45" i="5" s="1"/>
  <c r="O29" i="5"/>
  <c r="V29" i="5" s="1"/>
  <c r="AC29" i="5" s="1"/>
  <c r="AJ29" i="5" s="1"/>
  <c r="AQ29" i="5" s="1"/>
  <c r="AX29" i="5" s="1"/>
  <c r="BE29" i="5" s="1"/>
  <c r="H44" i="5"/>
  <c r="B44" i="5" s="1"/>
  <c r="F44" i="5"/>
  <c r="H32" i="5"/>
  <c r="D32" i="5" s="1"/>
  <c r="F32" i="5"/>
  <c r="H20" i="5"/>
  <c r="A20" i="5" s="1"/>
  <c r="F20" i="5"/>
  <c r="H16" i="5"/>
  <c r="C16" i="5" s="1"/>
  <c r="F16" i="5"/>
  <c r="G37" i="5"/>
  <c r="I37" i="5"/>
  <c r="P37" i="5" s="1"/>
  <c r="W37" i="5" s="1"/>
  <c r="AD37" i="5" s="1"/>
  <c r="AK37" i="5" s="1"/>
  <c r="AR37" i="5" s="1"/>
  <c r="AY37" i="5" s="1"/>
  <c r="BF37" i="5" s="1"/>
  <c r="A33" i="5"/>
  <c r="BJ33" i="5" s="1"/>
  <c r="I33" i="5"/>
  <c r="P33" i="5" s="1"/>
  <c r="W33" i="5" s="1"/>
  <c r="AD33" i="5" s="1"/>
  <c r="AK33" i="5" s="1"/>
  <c r="AR33" i="5" s="1"/>
  <c r="AY33" i="5" s="1"/>
  <c r="BF33" i="5" s="1"/>
  <c r="K21" i="5"/>
  <c r="I21" i="5"/>
  <c r="P21" i="5" s="1"/>
  <c r="W21" i="5" s="1"/>
  <c r="AD21" i="5" s="1"/>
  <c r="AK21" i="5" s="1"/>
  <c r="AR21" i="5" s="1"/>
  <c r="AY21" i="5" s="1"/>
  <c r="BF21" i="5" s="1"/>
  <c r="G17" i="5"/>
  <c r="I17" i="5"/>
  <c r="P17" i="5" s="1"/>
  <c r="W17" i="5" s="1"/>
  <c r="AD17" i="5" s="1"/>
  <c r="AK17" i="5" s="1"/>
  <c r="AR17" i="5" s="1"/>
  <c r="AY17" i="5" s="1"/>
  <c r="BF17" i="5" s="1"/>
  <c r="F45" i="5"/>
  <c r="F38" i="5"/>
  <c r="F30" i="5"/>
  <c r="F22" i="5"/>
  <c r="O42" i="5"/>
  <c r="V42" i="5" s="1"/>
  <c r="AC42" i="5" s="1"/>
  <c r="AJ42" i="5" s="1"/>
  <c r="AQ42" i="5" s="1"/>
  <c r="AX42" i="5" s="1"/>
  <c r="BE42" i="5" s="1"/>
  <c r="O34" i="5"/>
  <c r="V34" i="5" s="1"/>
  <c r="AC34" i="5" s="1"/>
  <c r="AJ34" i="5" s="1"/>
  <c r="AQ34" i="5" s="1"/>
  <c r="AX34" i="5" s="1"/>
  <c r="BE34" i="5" s="1"/>
  <c r="O26" i="5"/>
  <c r="V26" i="5" s="1"/>
  <c r="AC26" i="5" s="1"/>
  <c r="AJ26" i="5" s="1"/>
  <c r="AQ26" i="5" s="1"/>
  <c r="AX26" i="5" s="1"/>
  <c r="BE26" i="5" s="1"/>
  <c r="O18" i="5"/>
  <c r="V18" i="5" s="1"/>
  <c r="AC18" i="5" s="1"/>
  <c r="AJ18" i="5" s="1"/>
  <c r="AQ18" i="5" s="1"/>
  <c r="AX18" i="5" s="1"/>
  <c r="BE18" i="5" s="1"/>
  <c r="A42" i="5"/>
  <c r="BJ42" i="5" s="1"/>
  <c r="C42" i="5"/>
  <c r="B42" i="5"/>
  <c r="B22" i="5"/>
  <c r="G26" i="5"/>
  <c r="A37" i="5"/>
  <c r="BJ37" i="5" s="1"/>
  <c r="B26" i="5"/>
  <c r="C37" i="5"/>
  <c r="D26" i="5"/>
  <c r="C22" i="5"/>
  <c r="C33" i="5"/>
  <c r="G22" i="5"/>
  <c r="J37" i="5"/>
  <c r="Q37" i="5" s="1"/>
  <c r="X37" i="5" s="1"/>
  <c r="AE37" i="5" s="1"/>
  <c r="AL37" i="5" s="1"/>
  <c r="AS37" i="5" s="1"/>
  <c r="AZ37" i="5" s="1"/>
  <c r="BG37" i="5" s="1"/>
  <c r="B37" i="5"/>
  <c r="C21" i="5"/>
  <c r="C26" i="5"/>
  <c r="D37" i="5"/>
  <c r="B21" i="5"/>
  <c r="C17" i="5"/>
  <c r="A21" i="5"/>
  <c r="G21" i="5"/>
  <c r="B17" i="5"/>
  <c r="A17" i="5"/>
  <c r="D21" i="5"/>
  <c r="J21" i="5"/>
  <c r="Q21" i="5" s="1"/>
  <c r="X21" i="5" s="1"/>
  <c r="AE21" i="5" s="1"/>
  <c r="AL21" i="5" s="1"/>
  <c r="AS21" i="5" s="1"/>
  <c r="AZ21" i="5" s="1"/>
  <c r="BG21" i="5" s="1"/>
  <c r="J34" i="5"/>
  <c r="Q34" i="5" s="1"/>
  <c r="X34" i="5" s="1"/>
  <c r="AE34" i="5" s="1"/>
  <c r="AL34" i="5" s="1"/>
  <c r="AS34" i="5" s="1"/>
  <c r="AZ34" i="5" s="1"/>
  <c r="BG34" i="5" s="1"/>
  <c r="G34" i="5"/>
  <c r="D34" i="5"/>
  <c r="C34" i="5"/>
  <c r="B34" i="5"/>
  <c r="A34" i="5"/>
  <c r="BJ34" i="5" s="1"/>
  <c r="J33" i="5"/>
  <c r="Q33" i="5" s="1"/>
  <c r="X33" i="5" s="1"/>
  <c r="AE33" i="5" s="1"/>
  <c r="AL33" i="5" s="1"/>
  <c r="AS33" i="5" s="1"/>
  <c r="AZ33" i="5" s="1"/>
  <c r="BG33" i="5" s="1"/>
  <c r="M33" i="5"/>
  <c r="T33" i="5" s="1"/>
  <c r="AA33" i="5" s="1"/>
  <c r="AH33" i="5" s="1"/>
  <c r="AO33" i="5" s="1"/>
  <c r="AV33" i="5" s="1"/>
  <c r="BC33" i="5" s="1"/>
  <c r="D30" i="5"/>
  <c r="C30" i="5"/>
  <c r="A30" i="5"/>
  <c r="BJ30" i="5" s="1"/>
  <c r="J30" i="5"/>
  <c r="Q30" i="5" s="1"/>
  <c r="X30" i="5" s="1"/>
  <c r="AE30" i="5" s="1"/>
  <c r="AL30" i="5" s="1"/>
  <c r="AS30" i="5" s="1"/>
  <c r="AZ30" i="5" s="1"/>
  <c r="BG30" i="5" s="1"/>
  <c r="G30" i="5"/>
  <c r="B30" i="5"/>
  <c r="J19" i="5"/>
  <c r="Q19" i="5" s="1"/>
  <c r="X19" i="5" s="1"/>
  <c r="AE19" i="5" s="1"/>
  <c r="AL19" i="5" s="1"/>
  <c r="AS19" i="5" s="1"/>
  <c r="AZ19" i="5" s="1"/>
  <c r="BG19" i="5" s="1"/>
  <c r="J38" i="5"/>
  <c r="Q38" i="5" s="1"/>
  <c r="X38" i="5" s="1"/>
  <c r="AE38" i="5" s="1"/>
  <c r="AL38" i="5" s="1"/>
  <c r="AS38" i="5" s="1"/>
  <c r="AZ38" i="5" s="1"/>
  <c r="BG38" i="5" s="1"/>
  <c r="J29" i="5"/>
  <c r="Q29" i="5" s="1"/>
  <c r="X29" i="5" s="1"/>
  <c r="AE29" i="5" s="1"/>
  <c r="AL29" i="5" s="1"/>
  <c r="AS29" i="5" s="1"/>
  <c r="AZ29" i="5" s="1"/>
  <c r="BG29" i="5" s="1"/>
  <c r="G29" i="5"/>
  <c r="D29" i="5"/>
  <c r="C29" i="5"/>
  <c r="B29" i="5"/>
  <c r="A29" i="5"/>
  <c r="BJ29" i="5" s="1"/>
  <c r="B25" i="5"/>
  <c r="J25" i="5"/>
  <c r="Q25" i="5" s="1"/>
  <c r="X25" i="5" s="1"/>
  <c r="AE25" i="5" s="1"/>
  <c r="AL25" i="5" s="1"/>
  <c r="AS25" i="5" s="1"/>
  <c r="AZ25" i="5" s="1"/>
  <c r="BG25" i="5" s="1"/>
  <c r="G25" i="5"/>
  <c r="D25" i="5"/>
  <c r="C25" i="5"/>
  <c r="A25" i="5"/>
  <c r="K22" i="5"/>
  <c r="J22" i="5"/>
  <c r="Q22" i="5" s="1"/>
  <c r="X22" i="5" s="1"/>
  <c r="AE22" i="5" s="1"/>
  <c r="AL22" i="5" s="1"/>
  <c r="AS22" i="5" s="1"/>
  <c r="AZ22" i="5" s="1"/>
  <c r="BG22" i="5" s="1"/>
  <c r="K18" i="5"/>
  <c r="J18" i="5"/>
  <c r="Q18" i="5" s="1"/>
  <c r="X18" i="5" s="1"/>
  <c r="AE18" i="5" s="1"/>
  <c r="AL18" i="5" s="1"/>
  <c r="AS18" i="5" s="1"/>
  <c r="AZ18" i="5" s="1"/>
  <c r="BG18" i="5" s="1"/>
  <c r="G18" i="5"/>
  <c r="D18" i="5"/>
  <c r="C18" i="5"/>
  <c r="B18" i="5"/>
  <c r="A18" i="5"/>
  <c r="G42" i="5"/>
  <c r="C46" i="5"/>
  <c r="B46" i="5"/>
  <c r="J46" i="5"/>
  <c r="Q46" i="5" s="1"/>
  <c r="X46" i="5" s="1"/>
  <c r="AE46" i="5" s="1"/>
  <c r="AL46" i="5" s="1"/>
  <c r="AS46" i="5" s="1"/>
  <c r="AZ46" i="5" s="1"/>
  <c r="BG46" i="5" s="1"/>
  <c r="G46" i="5"/>
  <c r="D46" i="5"/>
  <c r="A46" i="5"/>
  <c r="BJ46" i="5" s="1"/>
  <c r="A38" i="5"/>
  <c r="BJ38" i="5" s="1"/>
  <c r="B38" i="5"/>
  <c r="C38" i="5"/>
  <c r="D38" i="5"/>
  <c r="G38" i="5"/>
  <c r="J42" i="5"/>
  <c r="Q42" i="5" s="1"/>
  <c r="X42" i="5" s="1"/>
  <c r="AE42" i="5" s="1"/>
  <c r="AL42" i="5" s="1"/>
  <c r="AS42" i="5" s="1"/>
  <c r="AZ42" i="5" s="1"/>
  <c r="BG42" i="5" s="1"/>
  <c r="J45" i="5"/>
  <c r="Q45" i="5" s="1"/>
  <c r="X45" i="5" s="1"/>
  <c r="AE45" i="5" s="1"/>
  <c r="AL45" i="5" s="1"/>
  <c r="AS45" i="5" s="1"/>
  <c r="AZ45" i="5" s="1"/>
  <c r="BG45" i="5" s="1"/>
  <c r="G45" i="5"/>
  <c r="D45" i="5"/>
  <c r="C45" i="5"/>
  <c r="B45" i="5"/>
  <c r="A45" i="5"/>
  <c r="BJ45" i="5" s="1"/>
  <c r="D41" i="5"/>
  <c r="A41" i="5"/>
  <c r="BJ41" i="5" s="1"/>
  <c r="J41" i="5"/>
  <c r="Q41" i="5" s="1"/>
  <c r="X41" i="5" s="1"/>
  <c r="AE41" i="5" s="1"/>
  <c r="AL41" i="5" s="1"/>
  <c r="AS41" i="5" s="1"/>
  <c r="AZ41" i="5" s="1"/>
  <c r="BG41" i="5" s="1"/>
  <c r="G41" i="5"/>
  <c r="C41" i="5"/>
  <c r="B41" i="5"/>
  <c r="J17" i="5"/>
  <c r="Q17" i="5" s="1"/>
  <c r="X17" i="5" s="1"/>
  <c r="AE17" i="5" s="1"/>
  <c r="AL17" i="5" s="1"/>
  <c r="AS17" i="5" s="1"/>
  <c r="AZ17" i="5" s="1"/>
  <c r="BG17" i="5" s="1"/>
  <c r="M17" i="5"/>
  <c r="T17" i="5" s="1"/>
  <c r="AA17" i="5" s="1"/>
  <c r="AH17" i="5" s="1"/>
  <c r="AO17" i="5" s="1"/>
  <c r="AV17" i="5" s="1"/>
  <c r="BC17" i="5" s="1"/>
  <c r="K17" i="5"/>
  <c r="A47" i="5"/>
  <c r="BJ47" i="5" s="1"/>
  <c r="A43" i="5"/>
  <c r="BJ43" i="5" s="1"/>
  <c r="B47" i="5"/>
  <c r="B43" i="5"/>
  <c r="C47" i="5"/>
  <c r="C43" i="5"/>
  <c r="D47" i="5"/>
  <c r="D43" i="5"/>
  <c r="G47" i="5"/>
  <c r="G43" i="5"/>
  <c r="J47" i="5"/>
  <c r="Q47" i="5" s="1"/>
  <c r="X47" i="5" s="1"/>
  <c r="AE47" i="5" s="1"/>
  <c r="AL47" i="5" s="1"/>
  <c r="AS47" i="5" s="1"/>
  <c r="AZ47" i="5" s="1"/>
  <c r="BG47" i="5" s="1"/>
  <c r="J43" i="5"/>
  <c r="Q43" i="5" s="1"/>
  <c r="X43" i="5" s="1"/>
  <c r="AE43" i="5" s="1"/>
  <c r="AL43" i="5" s="1"/>
  <c r="AS43" i="5" s="1"/>
  <c r="AZ43" i="5" s="1"/>
  <c r="BG43" i="5" s="1"/>
  <c r="AA7" i="2"/>
  <c r="BD53" i="2" l="1"/>
  <c r="BD39" i="2"/>
  <c r="BD73" i="2"/>
  <c r="BD27" i="2"/>
  <c r="BD18" i="2"/>
  <c r="BD26" i="2"/>
  <c r="BD34" i="2"/>
  <c r="BD25" i="2"/>
  <c r="BD29" i="2"/>
  <c r="BD33" i="2"/>
  <c r="BD37" i="2"/>
  <c r="BD41" i="2"/>
  <c r="BD47" i="2"/>
  <c r="BD76" i="2"/>
  <c r="BD15" i="2"/>
  <c r="BD60" i="2"/>
  <c r="BD43" i="2"/>
  <c r="BD44" i="2"/>
  <c r="BD52" i="2"/>
  <c r="BD23" i="2"/>
  <c r="BD31" i="2"/>
  <c r="BD46" i="2"/>
  <c r="BD9" i="2"/>
  <c r="BD63" i="2"/>
  <c r="BD72" i="2"/>
  <c r="BD16" i="2"/>
  <c r="BD20" i="2"/>
  <c r="BD65" i="2"/>
  <c r="BD6" i="2"/>
  <c r="BD58" i="2"/>
  <c r="BD17" i="2"/>
  <c r="BD75" i="2"/>
  <c r="BD48" i="2"/>
  <c r="AW6" i="5"/>
  <c r="BD28" i="2"/>
  <c r="BD45" i="2"/>
  <c r="BD57" i="2"/>
  <c r="BD62" i="2"/>
  <c r="BD22" i="2"/>
  <c r="BD35" i="2"/>
  <c r="BD69" i="2"/>
  <c r="BD36" i="2"/>
  <c r="BD8" i="2"/>
  <c r="BD30" i="2"/>
  <c r="BD38" i="2"/>
  <c r="BD50" i="2"/>
  <c r="BD51" i="2"/>
  <c r="BD68" i="2"/>
  <c r="BD12" i="2"/>
  <c r="BD56" i="2"/>
  <c r="BD42" i="2"/>
  <c r="BD64" i="2"/>
  <c r="BD11" i="2"/>
  <c r="BD54" i="2"/>
  <c r="BD49" i="2"/>
  <c r="BD13" i="2"/>
  <c r="BD24" i="2"/>
  <c r="BD32" i="2"/>
  <c r="BD40" i="2"/>
  <c r="BD70" i="2"/>
  <c r="BD66" i="2"/>
  <c r="BD21" i="2"/>
  <c r="BD59" i="2"/>
  <c r="BD61" i="2"/>
  <c r="BD67" i="2"/>
  <c r="BD71" i="2"/>
  <c r="BD55" i="2"/>
  <c r="BD10" i="2"/>
  <c r="BD14" i="2"/>
  <c r="BD19" i="2"/>
  <c r="B27" i="5"/>
  <c r="M41" i="5"/>
  <c r="T41" i="5" s="1"/>
  <c r="AA41" i="5" s="1"/>
  <c r="AH41" i="5" s="1"/>
  <c r="AO41" i="5" s="1"/>
  <c r="AV41" i="5" s="1"/>
  <c r="BC41" i="5" s="1"/>
  <c r="M43" i="5"/>
  <c r="T43" i="5" s="1"/>
  <c r="AA43" i="5" s="1"/>
  <c r="AH43" i="5" s="1"/>
  <c r="AO43" i="5" s="1"/>
  <c r="AV43" i="5" s="1"/>
  <c r="BC43" i="5" s="1"/>
  <c r="M21" i="5"/>
  <c r="T21" i="5" s="1"/>
  <c r="AA21" i="5" s="1"/>
  <c r="AH21" i="5" s="1"/>
  <c r="AO21" i="5" s="1"/>
  <c r="AV21" i="5" s="1"/>
  <c r="BC21" i="5" s="1"/>
  <c r="J23" i="5"/>
  <c r="Q23" i="5" s="1"/>
  <c r="X23" i="5" s="1"/>
  <c r="AE23" i="5" s="1"/>
  <c r="AL23" i="5" s="1"/>
  <c r="AS23" i="5" s="1"/>
  <c r="AZ23" i="5" s="1"/>
  <c r="BG23" i="5" s="1"/>
  <c r="B28" i="5"/>
  <c r="C15" i="5"/>
  <c r="J32" i="5"/>
  <c r="Q32" i="5" s="1"/>
  <c r="X32" i="5" s="1"/>
  <c r="AE32" i="5" s="1"/>
  <c r="AL32" i="5" s="1"/>
  <c r="AS32" i="5" s="1"/>
  <c r="AZ32" i="5" s="1"/>
  <c r="BG32" i="5" s="1"/>
  <c r="D27" i="5"/>
  <c r="B36" i="5"/>
  <c r="M46" i="5"/>
  <c r="T46" i="5" s="1"/>
  <c r="AA46" i="5" s="1"/>
  <c r="AH46" i="5" s="1"/>
  <c r="AO46" i="5" s="1"/>
  <c r="AV46" i="5" s="1"/>
  <c r="BC46" i="5" s="1"/>
  <c r="J44" i="5"/>
  <c r="Q44" i="5" s="1"/>
  <c r="X44" i="5" s="1"/>
  <c r="AE44" i="5" s="1"/>
  <c r="AL44" i="5" s="1"/>
  <c r="AS44" i="5" s="1"/>
  <c r="AZ44" i="5" s="1"/>
  <c r="BG44" i="5" s="1"/>
  <c r="M37" i="5"/>
  <c r="T37" i="5" s="1"/>
  <c r="AA37" i="5" s="1"/>
  <c r="AH37" i="5" s="1"/>
  <c r="AO37" i="5" s="1"/>
  <c r="AV37" i="5" s="1"/>
  <c r="BC37" i="5" s="1"/>
  <c r="G39" i="5"/>
  <c r="B40" i="5"/>
  <c r="M30" i="5"/>
  <c r="T30" i="5" s="1"/>
  <c r="AA30" i="5" s="1"/>
  <c r="AH30" i="5" s="1"/>
  <c r="AO30" i="5" s="1"/>
  <c r="AV30" i="5" s="1"/>
  <c r="BC30" i="5" s="1"/>
  <c r="M25" i="5"/>
  <c r="T25" i="5" s="1"/>
  <c r="AA25" i="5" s="1"/>
  <c r="AH25" i="5" s="1"/>
  <c r="AO25" i="5" s="1"/>
  <c r="AV25" i="5" s="1"/>
  <c r="BC25" i="5" s="1"/>
  <c r="M38" i="5"/>
  <c r="T38" i="5" s="1"/>
  <c r="AA38" i="5" s="1"/>
  <c r="AH38" i="5" s="1"/>
  <c r="AO38" i="5" s="1"/>
  <c r="AV38" i="5" s="1"/>
  <c r="BC38" i="5" s="1"/>
  <c r="B23" i="5"/>
  <c r="J39" i="5"/>
  <c r="Q39" i="5" s="1"/>
  <c r="X39" i="5" s="1"/>
  <c r="AE39" i="5" s="1"/>
  <c r="AL39" i="5" s="1"/>
  <c r="AS39" i="5" s="1"/>
  <c r="AZ39" i="5" s="1"/>
  <c r="BG39" i="5" s="1"/>
  <c r="B31" i="5"/>
  <c r="J40" i="5"/>
  <c r="Q40" i="5" s="1"/>
  <c r="X40" i="5" s="1"/>
  <c r="AE40" i="5" s="1"/>
  <c r="AL40" i="5" s="1"/>
  <c r="AS40" i="5" s="1"/>
  <c r="AZ40" i="5" s="1"/>
  <c r="BG40" i="5" s="1"/>
  <c r="A23" i="5"/>
  <c r="D31" i="5"/>
  <c r="D23" i="5"/>
  <c r="B39" i="5"/>
  <c r="A31" i="5"/>
  <c r="BJ31" i="5" s="1"/>
  <c r="C40" i="5"/>
  <c r="D39" i="5"/>
  <c r="C31" i="5"/>
  <c r="C23" i="5"/>
  <c r="A39" i="5"/>
  <c r="BJ39" i="5" s="1"/>
  <c r="D40" i="5"/>
  <c r="J31" i="5"/>
  <c r="Q31" i="5" s="1"/>
  <c r="X31" i="5" s="1"/>
  <c r="AE31" i="5" s="1"/>
  <c r="AL31" i="5" s="1"/>
  <c r="AS31" i="5" s="1"/>
  <c r="AZ31" i="5" s="1"/>
  <c r="BG31" i="5" s="1"/>
  <c r="G23" i="5"/>
  <c r="A40" i="5"/>
  <c r="BJ40" i="5" s="1"/>
  <c r="M45" i="5"/>
  <c r="T45" i="5" s="1"/>
  <c r="AA45" i="5" s="1"/>
  <c r="AH45" i="5" s="1"/>
  <c r="AO45" i="5" s="1"/>
  <c r="AV45" i="5" s="1"/>
  <c r="BC45" i="5" s="1"/>
  <c r="K16" i="5"/>
  <c r="R16" i="5" s="1"/>
  <c r="Y16" i="5" s="1"/>
  <c r="AF16" i="5" s="1"/>
  <c r="AM16" i="5" s="1"/>
  <c r="AT16" i="5" s="1"/>
  <c r="BA16" i="5" s="1"/>
  <c r="BH16" i="5" s="1"/>
  <c r="G16" i="5"/>
  <c r="G28" i="5"/>
  <c r="G32" i="5"/>
  <c r="G15" i="5"/>
  <c r="B15" i="5"/>
  <c r="M47" i="5"/>
  <c r="T47" i="5" s="1"/>
  <c r="AA47" i="5" s="1"/>
  <c r="AH47" i="5" s="1"/>
  <c r="AO47" i="5" s="1"/>
  <c r="AV47" i="5" s="1"/>
  <c r="BC47" i="5" s="1"/>
  <c r="J28" i="5"/>
  <c r="Q28" i="5" s="1"/>
  <c r="X28" i="5" s="1"/>
  <c r="AE28" i="5" s="1"/>
  <c r="AL28" i="5" s="1"/>
  <c r="AS28" i="5" s="1"/>
  <c r="AZ28" i="5" s="1"/>
  <c r="BG28" i="5" s="1"/>
  <c r="K15" i="5"/>
  <c r="R15" i="5" s="1"/>
  <c r="Y15" i="5" s="1"/>
  <c r="AF15" i="5" s="1"/>
  <c r="AM15" i="5" s="1"/>
  <c r="AT15" i="5" s="1"/>
  <c r="BA15" i="5" s="1"/>
  <c r="BH15" i="5" s="1"/>
  <c r="A16" i="5"/>
  <c r="J15" i="5"/>
  <c r="Q15" i="5" s="1"/>
  <c r="X15" i="5" s="1"/>
  <c r="AE15" i="5" s="1"/>
  <c r="AL15" i="5" s="1"/>
  <c r="AS15" i="5" s="1"/>
  <c r="AZ15" i="5" s="1"/>
  <c r="BG15" i="5" s="1"/>
  <c r="A15" i="5"/>
  <c r="M22" i="5"/>
  <c r="T22" i="5" s="1"/>
  <c r="AA22" i="5" s="1"/>
  <c r="AH22" i="5" s="1"/>
  <c r="AO22" i="5" s="1"/>
  <c r="AV22" i="5" s="1"/>
  <c r="BC22" i="5" s="1"/>
  <c r="J16" i="5"/>
  <c r="Q16" i="5" s="1"/>
  <c r="X16" i="5" s="1"/>
  <c r="AE16" i="5" s="1"/>
  <c r="AL16" i="5" s="1"/>
  <c r="AS16" i="5" s="1"/>
  <c r="AZ16" i="5" s="1"/>
  <c r="BG16" i="5" s="1"/>
  <c r="B32" i="5"/>
  <c r="J35" i="5"/>
  <c r="Q35" i="5" s="1"/>
  <c r="X35" i="5" s="1"/>
  <c r="AE35" i="5" s="1"/>
  <c r="AL35" i="5" s="1"/>
  <c r="AS35" i="5" s="1"/>
  <c r="AZ35" i="5" s="1"/>
  <c r="BG35" i="5" s="1"/>
  <c r="G27" i="5"/>
  <c r="C27" i="5"/>
  <c r="A27" i="5"/>
  <c r="BJ27" i="5" s="1"/>
  <c r="B24" i="5"/>
  <c r="D16" i="5"/>
  <c r="B16" i="5"/>
  <c r="A28" i="5"/>
  <c r="BJ28" i="5" s="1"/>
  <c r="A32" i="5"/>
  <c r="BJ32" i="5" s="1"/>
  <c r="C32" i="5"/>
  <c r="J24" i="5"/>
  <c r="Q24" i="5" s="1"/>
  <c r="X24" i="5" s="1"/>
  <c r="AE24" i="5" s="1"/>
  <c r="AL24" i="5" s="1"/>
  <c r="AS24" i="5" s="1"/>
  <c r="AZ24" i="5" s="1"/>
  <c r="BG24" i="5" s="1"/>
  <c r="C28" i="5"/>
  <c r="M42" i="5"/>
  <c r="T42" i="5" s="1"/>
  <c r="AA42" i="5" s="1"/>
  <c r="AH42" i="5" s="1"/>
  <c r="AO42" i="5" s="1"/>
  <c r="AV42" i="5" s="1"/>
  <c r="BC42" i="5" s="1"/>
  <c r="C24" i="5"/>
  <c r="G35" i="5"/>
  <c r="G19" i="5"/>
  <c r="D35" i="5"/>
  <c r="D19" i="5"/>
  <c r="C35" i="5"/>
  <c r="C19" i="5"/>
  <c r="B35" i="5"/>
  <c r="B19" i="5"/>
  <c r="A19" i="5"/>
  <c r="D24" i="5"/>
  <c r="M29" i="5"/>
  <c r="T29" i="5" s="1"/>
  <c r="AA29" i="5" s="1"/>
  <c r="AH29" i="5" s="1"/>
  <c r="AO29" i="5" s="1"/>
  <c r="AV29" i="5" s="1"/>
  <c r="BC29" i="5" s="1"/>
  <c r="A24" i="5"/>
  <c r="M34" i="5"/>
  <c r="T34" i="5" s="1"/>
  <c r="AA34" i="5" s="1"/>
  <c r="AH34" i="5" s="1"/>
  <c r="AO34" i="5" s="1"/>
  <c r="AV34" i="5" s="1"/>
  <c r="BC34" i="5" s="1"/>
  <c r="O19" i="5"/>
  <c r="V19" i="5" s="1"/>
  <c r="AC19" i="5" s="1"/>
  <c r="AJ19" i="5" s="1"/>
  <c r="AQ19" i="5" s="1"/>
  <c r="AX19" i="5" s="1"/>
  <c r="BE19" i="5" s="1"/>
  <c r="N19" i="5"/>
  <c r="I19" i="5"/>
  <c r="P19" i="5" s="1"/>
  <c r="W19" i="5" s="1"/>
  <c r="AD19" i="5" s="1"/>
  <c r="AK19" i="5" s="1"/>
  <c r="AR19" i="5" s="1"/>
  <c r="AY19" i="5" s="1"/>
  <c r="BF19" i="5" s="1"/>
  <c r="O27" i="5"/>
  <c r="V27" i="5" s="1"/>
  <c r="AC27" i="5" s="1"/>
  <c r="AJ27" i="5" s="1"/>
  <c r="AQ27" i="5" s="1"/>
  <c r="AX27" i="5" s="1"/>
  <c r="BE27" i="5" s="1"/>
  <c r="N27" i="5"/>
  <c r="I27" i="5"/>
  <c r="P27" i="5" s="1"/>
  <c r="W27" i="5" s="1"/>
  <c r="AD27" i="5" s="1"/>
  <c r="AK27" i="5" s="1"/>
  <c r="AR27" i="5" s="1"/>
  <c r="AY27" i="5" s="1"/>
  <c r="BF27" i="5" s="1"/>
  <c r="O35" i="5"/>
  <c r="V35" i="5" s="1"/>
  <c r="AC35" i="5" s="1"/>
  <c r="AJ35" i="5" s="1"/>
  <c r="AQ35" i="5" s="1"/>
  <c r="AX35" i="5" s="1"/>
  <c r="BE35" i="5" s="1"/>
  <c r="N35" i="5"/>
  <c r="I35" i="5"/>
  <c r="P35" i="5" s="1"/>
  <c r="W35" i="5" s="1"/>
  <c r="AD35" i="5" s="1"/>
  <c r="AK35" i="5" s="1"/>
  <c r="AR35" i="5" s="1"/>
  <c r="AY35" i="5" s="1"/>
  <c r="BF35" i="5" s="1"/>
  <c r="O24" i="5"/>
  <c r="V24" i="5" s="1"/>
  <c r="AC24" i="5" s="1"/>
  <c r="AJ24" i="5" s="1"/>
  <c r="AQ24" i="5" s="1"/>
  <c r="AX24" i="5" s="1"/>
  <c r="BE24" i="5" s="1"/>
  <c r="N24" i="5"/>
  <c r="I24" i="5"/>
  <c r="P24" i="5" s="1"/>
  <c r="W24" i="5" s="1"/>
  <c r="AD24" i="5" s="1"/>
  <c r="AK24" i="5" s="1"/>
  <c r="AR24" i="5" s="1"/>
  <c r="AY24" i="5" s="1"/>
  <c r="BF24" i="5" s="1"/>
  <c r="R17" i="5"/>
  <c r="Y17" i="5" s="1"/>
  <c r="AF17" i="5" s="1"/>
  <c r="AM17" i="5" s="1"/>
  <c r="AT17" i="5" s="1"/>
  <c r="BA17" i="5" s="1"/>
  <c r="BH17" i="5" s="1"/>
  <c r="L17" i="5"/>
  <c r="S17" i="5" s="1"/>
  <c r="Z17" i="5" s="1"/>
  <c r="AG17" i="5" s="1"/>
  <c r="AN17" i="5" s="1"/>
  <c r="AU17" i="5" s="1"/>
  <c r="BB17" i="5" s="1"/>
  <c r="BI17" i="5" s="1"/>
  <c r="R18" i="5"/>
  <c r="Y18" i="5" s="1"/>
  <c r="AF18" i="5" s="1"/>
  <c r="AM18" i="5" s="1"/>
  <c r="AT18" i="5" s="1"/>
  <c r="BA18" i="5" s="1"/>
  <c r="BH18" i="5" s="1"/>
  <c r="L18" i="5"/>
  <c r="S18" i="5" s="1"/>
  <c r="Z18" i="5" s="1"/>
  <c r="AG18" i="5" s="1"/>
  <c r="AN18" i="5" s="1"/>
  <c r="AU18" i="5" s="1"/>
  <c r="BB18" i="5" s="1"/>
  <c r="BI18" i="5" s="1"/>
  <c r="O20" i="5"/>
  <c r="V20" i="5" s="1"/>
  <c r="AC20" i="5" s="1"/>
  <c r="AJ20" i="5" s="1"/>
  <c r="AQ20" i="5" s="1"/>
  <c r="AX20" i="5" s="1"/>
  <c r="BE20" i="5" s="1"/>
  <c r="N20" i="5"/>
  <c r="I20" i="5"/>
  <c r="P20" i="5" s="1"/>
  <c r="W20" i="5" s="1"/>
  <c r="AD20" i="5" s="1"/>
  <c r="AK20" i="5" s="1"/>
  <c r="AR20" i="5" s="1"/>
  <c r="AY20" i="5" s="1"/>
  <c r="BF20" i="5" s="1"/>
  <c r="O44" i="5"/>
  <c r="V44" i="5" s="1"/>
  <c r="AC44" i="5" s="1"/>
  <c r="AJ44" i="5" s="1"/>
  <c r="AQ44" i="5" s="1"/>
  <c r="AX44" i="5" s="1"/>
  <c r="BE44" i="5" s="1"/>
  <c r="N44" i="5"/>
  <c r="U44" i="5" s="1"/>
  <c r="AB44" i="5" s="1"/>
  <c r="AI44" i="5" s="1"/>
  <c r="AP44" i="5" s="1"/>
  <c r="AW44" i="5" s="1"/>
  <c r="BD44" i="5" s="1"/>
  <c r="I44" i="5"/>
  <c r="P44" i="5" s="1"/>
  <c r="W44" i="5" s="1"/>
  <c r="AD44" i="5" s="1"/>
  <c r="AK44" i="5" s="1"/>
  <c r="AR44" i="5" s="1"/>
  <c r="AY44" i="5" s="1"/>
  <c r="BF44" i="5" s="1"/>
  <c r="M18" i="5"/>
  <c r="T18" i="5" s="1"/>
  <c r="AA18" i="5" s="1"/>
  <c r="AH18" i="5" s="1"/>
  <c r="AO18" i="5" s="1"/>
  <c r="AV18" i="5" s="1"/>
  <c r="BC18" i="5" s="1"/>
  <c r="M26" i="5"/>
  <c r="T26" i="5" s="1"/>
  <c r="AA26" i="5" s="1"/>
  <c r="AH26" i="5" s="1"/>
  <c r="AO26" i="5" s="1"/>
  <c r="AV26" i="5" s="1"/>
  <c r="BC26" i="5" s="1"/>
  <c r="J20" i="5"/>
  <c r="Q20" i="5" s="1"/>
  <c r="X20" i="5" s="1"/>
  <c r="AE20" i="5" s="1"/>
  <c r="AL20" i="5" s="1"/>
  <c r="AS20" i="5" s="1"/>
  <c r="AZ20" i="5" s="1"/>
  <c r="BG20" i="5" s="1"/>
  <c r="D20" i="5"/>
  <c r="D36" i="5"/>
  <c r="G44" i="5"/>
  <c r="O16" i="5"/>
  <c r="V16" i="5" s="1"/>
  <c r="AC16" i="5" s="1"/>
  <c r="AJ16" i="5" s="1"/>
  <c r="AQ16" i="5" s="1"/>
  <c r="AX16" i="5" s="1"/>
  <c r="BE16" i="5" s="1"/>
  <c r="N16" i="5"/>
  <c r="I16" i="5"/>
  <c r="P16" i="5" s="1"/>
  <c r="W16" i="5" s="1"/>
  <c r="AD16" i="5" s="1"/>
  <c r="AK16" i="5" s="1"/>
  <c r="AR16" i="5" s="1"/>
  <c r="AY16" i="5" s="1"/>
  <c r="BF16" i="5" s="1"/>
  <c r="O32" i="5"/>
  <c r="V32" i="5" s="1"/>
  <c r="AC32" i="5" s="1"/>
  <c r="AJ32" i="5" s="1"/>
  <c r="AQ32" i="5" s="1"/>
  <c r="AX32" i="5" s="1"/>
  <c r="BE32" i="5" s="1"/>
  <c r="N32" i="5"/>
  <c r="I32" i="5"/>
  <c r="P32" i="5" s="1"/>
  <c r="W32" i="5" s="1"/>
  <c r="AD32" i="5" s="1"/>
  <c r="AK32" i="5" s="1"/>
  <c r="AR32" i="5" s="1"/>
  <c r="AY32" i="5" s="1"/>
  <c r="BF32" i="5" s="1"/>
  <c r="O28" i="5"/>
  <c r="V28" i="5" s="1"/>
  <c r="AC28" i="5" s="1"/>
  <c r="AJ28" i="5" s="1"/>
  <c r="AQ28" i="5" s="1"/>
  <c r="AX28" i="5" s="1"/>
  <c r="BE28" i="5" s="1"/>
  <c r="N28" i="5"/>
  <c r="I28" i="5"/>
  <c r="P28" i="5" s="1"/>
  <c r="W28" i="5" s="1"/>
  <c r="AD28" i="5" s="1"/>
  <c r="AK28" i="5" s="1"/>
  <c r="AR28" i="5" s="1"/>
  <c r="AY28" i="5" s="1"/>
  <c r="BF28" i="5" s="1"/>
  <c r="O15" i="5"/>
  <c r="V15" i="5" s="1"/>
  <c r="AC15" i="5" s="1"/>
  <c r="AJ15" i="5" s="1"/>
  <c r="AQ15" i="5" s="1"/>
  <c r="AX15" i="5" s="1"/>
  <c r="BE15" i="5" s="1"/>
  <c r="N15" i="5"/>
  <c r="I15" i="5"/>
  <c r="P15" i="5" s="1"/>
  <c r="W15" i="5" s="1"/>
  <c r="AD15" i="5" s="1"/>
  <c r="AK15" i="5" s="1"/>
  <c r="AR15" i="5" s="1"/>
  <c r="AY15" i="5" s="1"/>
  <c r="BF15" i="5" s="1"/>
  <c r="R23" i="5"/>
  <c r="Y23" i="5" s="1"/>
  <c r="AF23" i="5" s="1"/>
  <c r="AM23" i="5" s="1"/>
  <c r="AT23" i="5" s="1"/>
  <c r="BA23" i="5" s="1"/>
  <c r="BH23" i="5" s="1"/>
  <c r="L23" i="5"/>
  <c r="S23" i="5" s="1"/>
  <c r="Z23" i="5" s="1"/>
  <c r="AG23" i="5" s="1"/>
  <c r="AN23" i="5" s="1"/>
  <c r="AU23" i="5" s="1"/>
  <c r="BB23" i="5" s="1"/>
  <c r="BI23" i="5" s="1"/>
  <c r="R21" i="5"/>
  <c r="Y21" i="5" s="1"/>
  <c r="AF21" i="5" s="1"/>
  <c r="AM21" i="5" s="1"/>
  <c r="AT21" i="5" s="1"/>
  <c r="BA21" i="5" s="1"/>
  <c r="BH21" i="5" s="1"/>
  <c r="L21" i="5"/>
  <c r="S21" i="5" s="1"/>
  <c r="Z21" i="5" s="1"/>
  <c r="AG21" i="5" s="1"/>
  <c r="AN21" i="5" s="1"/>
  <c r="AU21" i="5" s="1"/>
  <c r="BB21" i="5" s="1"/>
  <c r="BI21" i="5" s="1"/>
  <c r="O36" i="5"/>
  <c r="V36" i="5" s="1"/>
  <c r="AC36" i="5" s="1"/>
  <c r="AJ36" i="5" s="1"/>
  <c r="AQ36" i="5" s="1"/>
  <c r="AX36" i="5" s="1"/>
  <c r="BE36" i="5" s="1"/>
  <c r="N36" i="5"/>
  <c r="U36" i="5" s="1"/>
  <c r="AB36" i="5" s="1"/>
  <c r="AI36" i="5" s="1"/>
  <c r="AP36" i="5" s="1"/>
  <c r="AW36" i="5" s="1"/>
  <c r="BD36" i="5" s="1"/>
  <c r="I36" i="5"/>
  <c r="P36" i="5" s="1"/>
  <c r="W36" i="5" s="1"/>
  <c r="AD36" i="5" s="1"/>
  <c r="AK36" i="5" s="1"/>
  <c r="AR36" i="5" s="1"/>
  <c r="AY36" i="5" s="1"/>
  <c r="BF36" i="5" s="1"/>
  <c r="C20" i="5"/>
  <c r="B20" i="5"/>
  <c r="A36" i="5"/>
  <c r="BJ36" i="5" s="1"/>
  <c r="C36" i="5"/>
  <c r="A44" i="5"/>
  <c r="BJ44" i="5" s="1"/>
  <c r="C44" i="5"/>
  <c r="R22" i="5"/>
  <c r="Y22" i="5" s="1"/>
  <c r="AF22" i="5" s="1"/>
  <c r="AM22" i="5" s="1"/>
  <c r="AT22" i="5" s="1"/>
  <c r="BA22" i="5" s="1"/>
  <c r="BH22" i="5" s="1"/>
  <c r="L22" i="5"/>
  <c r="S22" i="5" s="1"/>
  <c r="Z22" i="5" s="1"/>
  <c r="AG22" i="5" s="1"/>
  <c r="AN22" i="5" s="1"/>
  <c r="AU22" i="5" s="1"/>
  <c r="BB22" i="5" s="1"/>
  <c r="BI22" i="5" s="1"/>
  <c r="R19" i="5"/>
  <c r="Y19" i="5" s="1"/>
  <c r="AF19" i="5" s="1"/>
  <c r="AM19" i="5" s="1"/>
  <c r="AT19" i="5" s="1"/>
  <c r="BA19" i="5" s="1"/>
  <c r="BH19" i="5" s="1"/>
  <c r="L19" i="5"/>
  <c r="S19" i="5" s="1"/>
  <c r="Z19" i="5" s="1"/>
  <c r="AG19" i="5" s="1"/>
  <c r="AN19" i="5" s="1"/>
  <c r="AU19" i="5" s="1"/>
  <c r="BB19" i="5" s="1"/>
  <c r="BI19" i="5" s="1"/>
  <c r="K20" i="5"/>
  <c r="G20" i="5"/>
  <c r="J36" i="5"/>
  <c r="Q36" i="5" s="1"/>
  <c r="X36" i="5" s="1"/>
  <c r="AE36" i="5" s="1"/>
  <c r="AL36" i="5" s="1"/>
  <c r="AS36" i="5" s="1"/>
  <c r="AZ36" i="5" s="1"/>
  <c r="BG36" i="5" s="1"/>
  <c r="D44" i="5"/>
  <c r="O23" i="5"/>
  <c r="V23" i="5" s="1"/>
  <c r="AC23" i="5" s="1"/>
  <c r="AJ23" i="5" s="1"/>
  <c r="AQ23" i="5" s="1"/>
  <c r="AX23" i="5" s="1"/>
  <c r="BE23" i="5" s="1"/>
  <c r="N23" i="5"/>
  <c r="I23" i="5"/>
  <c r="P23" i="5" s="1"/>
  <c r="W23" i="5" s="1"/>
  <c r="AD23" i="5" s="1"/>
  <c r="AK23" i="5" s="1"/>
  <c r="AR23" i="5" s="1"/>
  <c r="AY23" i="5" s="1"/>
  <c r="BF23" i="5" s="1"/>
  <c r="O31" i="5"/>
  <c r="V31" i="5" s="1"/>
  <c r="AC31" i="5" s="1"/>
  <c r="AJ31" i="5" s="1"/>
  <c r="AQ31" i="5" s="1"/>
  <c r="AX31" i="5" s="1"/>
  <c r="BE31" i="5" s="1"/>
  <c r="N31" i="5"/>
  <c r="I31" i="5"/>
  <c r="P31" i="5" s="1"/>
  <c r="W31" i="5" s="1"/>
  <c r="AD31" i="5" s="1"/>
  <c r="AK31" i="5" s="1"/>
  <c r="AR31" i="5" s="1"/>
  <c r="AY31" i="5" s="1"/>
  <c r="BF31" i="5" s="1"/>
  <c r="O39" i="5"/>
  <c r="V39" i="5" s="1"/>
  <c r="AC39" i="5" s="1"/>
  <c r="AJ39" i="5" s="1"/>
  <c r="AQ39" i="5" s="1"/>
  <c r="AX39" i="5" s="1"/>
  <c r="BE39" i="5" s="1"/>
  <c r="N39" i="5"/>
  <c r="I39" i="5"/>
  <c r="P39" i="5" s="1"/>
  <c r="W39" i="5" s="1"/>
  <c r="AD39" i="5" s="1"/>
  <c r="AK39" i="5" s="1"/>
  <c r="AR39" i="5" s="1"/>
  <c r="AY39" i="5" s="1"/>
  <c r="BF39" i="5" s="1"/>
  <c r="O40" i="5"/>
  <c r="V40" i="5" s="1"/>
  <c r="AC40" i="5" s="1"/>
  <c r="AJ40" i="5" s="1"/>
  <c r="AQ40" i="5" s="1"/>
  <c r="AX40" i="5" s="1"/>
  <c r="BE40" i="5" s="1"/>
  <c r="N40" i="5"/>
  <c r="I40" i="5"/>
  <c r="P40" i="5" s="1"/>
  <c r="W40" i="5" s="1"/>
  <c r="AD40" i="5" s="1"/>
  <c r="AK40" i="5" s="1"/>
  <c r="AR40" i="5" s="1"/>
  <c r="AY40" i="5" s="1"/>
  <c r="BF40" i="5" s="1"/>
  <c r="Z7" i="2"/>
  <c r="BJ25" i="5" l="1"/>
  <c r="BJ22" i="5"/>
  <c r="BJ21" i="5"/>
  <c r="L15" i="5"/>
  <c r="S15" i="5" s="1"/>
  <c r="Z15" i="5" s="1"/>
  <c r="AG15" i="5" s="1"/>
  <c r="AN15" i="5" s="1"/>
  <c r="AU15" i="5" s="1"/>
  <c r="BB15" i="5" s="1"/>
  <c r="BI15" i="5" s="1"/>
  <c r="L16" i="5"/>
  <c r="S16" i="5" s="1"/>
  <c r="Z16" i="5" s="1"/>
  <c r="AG16" i="5" s="1"/>
  <c r="AN16" i="5" s="1"/>
  <c r="AU16" i="5" s="1"/>
  <c r="BB16" i="5" s="1"/>
  <c r="BI16" i="5" s="1"/>
  <c r="BJ18" i="5"/>
  <c r="BJ17" i="5"/>
  <c r="M44" i="5"/>
  <c r="T44" i="5" s="1"/>
  <c r="AA44" i="5" s="1"/>
  <c r="AH44" i="5" s="1"/>
  <c r="AO44" i="5" s="1"/>
  <c r="AV44" i="5" s="1"/>
  <c r="BC44" i="5" s="1"/>
  <c r="U16" i="5"/>
  <c r="AB16" i="5" s="1"/>
  <c r="AI16" i="5" s="1"/>
  <c r="AP16" i="5" s="1"/>
  <c r="AW16" i="5" s="1"/>
  <c r="BD16" i="5" s="1"/>
  <c r="M16" i="5"/>
  <c r="T16" i="5" s="1"/>
  <c r="AA16" i="5" s="1"/>
  <c r="AH16" i="5" s="1"/>
  <c r="AO16" i="5" s="1"/>
  <c r="AV16" i="5" s="1"/>
  <c r="BC16" i="5" s="1"/>
  <c r="U32" i="5"/>
  <c r="AB32" i="5" s="1"/>
  <c r="AI32" i="5" s="1"/>
  <c r="AP32" i="5" s="1"/>
  <c r="AW32" i="5" s="1"/>
  <c r="BD32" i="5" s="1"/>
  <c r="M32" i="5"/>
  <c r="T32" i="5" s="1"/>
  <c r="AA32" i="5" s="1"/>
  <c r="AH32" i="5" s="1"/>
  <c r="AO32" i="5" s="1"/>
  <c r="AV32" i="5" s="1"/>
  <c r="BC32" i="5" s="1"/>
  <c r="U24" i="5"/>
  <c r="AB24" i="5" s="1"/>
  <c r="AI24" i="5" s="1"/>
  <c r="AP24" i="5" s="1"/>
  <c r="AW24" i="5" s="1"/>
  <c r="BD24" i="5" s="1"/>
  <c r="M24" i="5"/>
  <c r="T24" i="5" s="1"/>
  <c r="AA24" i="5" s="1"/>
  <c r="AH24" i="5" s="1"/>
  <c r="AO24" i="5" s="1"/>
  <c r="AV24" i="5" s="1"/>
  <c r="BC24" i="5" s="1"/>
  <c r="U35" i="5"/>
  <c r="AB35" i="5" s="1"/>
  <c r="AI35" i="5" s="1"/>
  <c r="AP35" i="5" s="1"/>
  <c r="AW35" i="5" s="1"/>
  <c r="BD35" i="5" s="1"/>
  <c r="M35" i="5"/>
  <c r="T35" i="5" s="1"/>
  <c r="AA35" i="5" s="1"/>
  <c r="AH35" i="5" s="1"/>
  <c r="AO35" i="5" s="1"/>
  <c r="AV35" i="5" s="1"/>
  <c r="BC35" i="5" s="1"/>
  <c r="U39" i="5"/>
  <c r="AB39" i="5" s="1"/>
  <c r="AI39" i="5" s="1"/>
  <c r="AP39" i="5" s="1"/>
  <c r="AW39" i="5" s="1"/>
  <c r="BD39" i="5" s="1"/>
  <c r="M39" i="5"/>
  <c r="T39" i="5" s="1"/>
  <c r="AA39" i="5" s="1"/>
  <c r="AH39" i="5" s="1"/>
  <c r="AO39" i="5" s="1"/>
  <c r="AV39" i="5" s="1"/>
  <c r="BC39" i="5" s="1"/>
  <c r="U40" i="5"/>
  <c r="AB40" i="5" s="1"/>
  <c r="AI40" i="5" s="1"/>
  <c r="AP40" i="5" s="1"/>
  <c r="AW40" i="5" s="1"/>
  <c r="BD40" i="5" s="1"/>
  <c r="M40" i="5"/>
  <c r="T40" i="5" s="1"/>
  <c r="AA40" i="5" s="1"/>
  <c r="AH40" i="5" s="1"/>
  <c r="AO40" i="5" s="1"/>
  <c r="AV40" i="5" s="1"/>
  <c r="BC40" i="5" s="1"/>
  <c r="M36" i="5"/>
  <c r="T36" i="5" s="1"/>
  <c r="AA36" i="5" s="1"/>
  <c r="AH36" i="5" s="1"/>
  <c r="AO36" i="5" s="1"/>
  <c r="AV36" i="5" s="1"/>
  <c r="BC36" i="5" s="1"/>
  <c r="U28" i="5"/>
  <c r="AB28" i="5" s="1"/>
  <c r="AI28" i="5" s="1"/>
  <c r="AP28" i="5" s="1"/>
  <c r="AW28" i="5" s="1"/>
  <c r="BD28" i="5" s="1"/>
  <c r="M28" i="5"/>
  <c r="T28" i="5" s="1"/>
  <c r="AA28" i="5" s="1"/>
  <c r="AH28" i="5" s="1"/>
  <c r="AO28" i="5" s="1"/>
  <c r="AV28" i="5" s="1"/>
  <c r="BC28" i="5" s="1"/>
  <c r="U20" i="5"/>
  <c r="AB20" i="5" s="1"/>
  <c r="AI20" i="5" s="1"/>
  <c r="AP20" i="5" s="1"/>
  <c r="AW20" i="5" s="1"/>
  <c r="BD20" i="5" s="1"/>
  <c r="M20" i="5"/>
  <c r="T20" i="5" s="1"/>
  <c r="AA20" i="5" s="1"/>
  <c r="AH20" i="5" s="1"/>
  <c r="AO20" i="5" s="1"/>
  <c r="AV20" i="5" s="1"/>
  <c r="BC20" i="5" s="1"/>
  <c r="U19" i="5"/>
  <c r="AB19" i="5" s="1"/>
  <c r="AI19" i="5" s="1"/>
  <c r="AP19" i="5" s="1"/>
  <c r="AW19" i="5" s="1"/>
  <c r="BD19" i="5" s="1"/>
  <c r="M19" i="5"/>
  <c r="T19" i="5" s="1"/>
  <c r="AA19" i="5" s="1"/>
  <c r="AH19" i="5" s="1"/>
  <c r="AO19" i="5" s="1"/>
  <c r="AV19" i="5" s="1"/>
  <c r="BC19" i="5" s="1"/>
  <c r="U31" i="5"/>
  <c r="AB31" i="5" s="1"/>
  <c r="AI31" i="5" s="1"/>
  <c r="AP31" i="5" s="1"/>
  <c r="AW31" i="5" s="1"/>
  <c r="BD31" i="5" s="1"/>
  <c r="M31" i="5"/>
  <c r="T31" i="5" s="1"/>
  <c r="AA31" i="5" s="1"/>
  <c r="AH31" i="5" s="1"/>
  <c r="AO31" i="5" s="1"/>
  <c r="AV31" i="5" s="1"/>
  <c r="BC31" i="5" s="1"/>
  <c r="R20" i="5"/>
  <c r="Y20" i="5" s="1"/>
  <c r="AF20" i="5" s="1"/>
  <c r="AM20" i="5" s="1"/>
  <c r="AT20" i="5" s="1"/>
  <c r="BA20" i="5" s="1"/>
  <c r="BH20" i="5" s="1"/>
  <c r="L20" i="5"/>
  <c r="S20" i="5" s="1"/>
  <c r="Z20" i="5" s="1"/>
  <c r="AG20" i="5" s="1"/>
  <c r="AN20" i="5" s="1"/>
  <c r="AU20" i="5" s="1"/>
  <c r="BB20" i="5" s="1"/>
  <c r="BI20" i="5" s="1"/>
  <c r="U23" i="5"/>
  <c r="AB23" i="5" s="1"/>
  <c r="AI23" i="5" s="1"/>
  <c r="AP23" i="5" s="1"/>
  <c r="AW23" i="5" s="1"/>
  <c r="BD23" i="5" s="1"/>
  <c r="M23" i="5"/>
  <c r="T23" i="5" s="1"/>
  <c r="AA23" i="5" s="1"/>
  <c r="AH23" i="5" s="1"/>
  <c r="AO23" i="5" s="1"/>
  <c r="AV23" i="5" s="1"/>
  <c r="BC23" i="5" s="1"/>
  <c r="M15" i="5"/>
  <c r="T15" i="5" s="1"/>
  <c r="AA15" i="5" s="1"/>
  <c r="AH15" i="5" s="1"/>
  <c r="AO15" i="5" s="1"/>
  <c r="AV15" i="5" s="1"/>
  <c r="BC15" i="5" s="1"/>
  <c r="U15" i="5"/>
  <c r="AB15" i="5" s="1"/>
  <c r="AI15" i="5" s="1"/>
  <c r="AP15" i="5" s="1"/>
  <c r="AW15" i="5" s="1"/>
  <c r="BD15" i="5" s="1"/>
  <c r="U27" i="5"/>
  <c r="AB27" i="5" s="1"/>
  <c r="AI27" i="5" s="1"/>
  <c r="AP27" i="5" s="1"/>
  <c r="AW27" i="5" s="1"/>
  <c r="BD27" i="5" s="1"/>
  <c r="M27" i="5"/>
  <c r="T27" i="5" s="1"/>
  <c r="AA27" i="5" s="1"/>
  <c r="AH27" i="5" s="1"/>
  <c r="AO27" i="5" s="1"/>
  <c r="AV27" i="5" s="1"/>
  <c r="BC27" i="5" s="1"/>
  <c r="AB7" i="2"/>
  <c r="AM7" i="2"/>
  <c r="AN7" i="2" s="1"/>
  <c r="AJ7" i="2"/>
  <c r="AG7" i="2"/>
  <c r="R7" i="2"/>
  <c r="S7" i="2" s="1"/>
  <c r="AY7" i="2"/>
  <c r="AZ7" i="2" s="1"/>
  <c r="AV7" i="2"/>
  <c r="AW7" i="2" s="1"/>
  <c r="AS7" i="2"/>
  <c r="AT7" i="2" s="1"/>
  <c r="AD7" i="2"/>
  <c r="AE7" i="2" s="1"/>
  <c r="I7" i="2"/>
  <c r="AL7" i="2"/>
  <c r="AO7" i="2" s="1"/>
  <c r="N7" i="2"/>
  <c r="BJ24" i="5" l="1"/>
  <c r="BJ23" i="5"/>
  <c r="BJ20" i="5"/>
  <c r="BJ19" i="5"/>
  <c r="O7" i="2"/>
  <c r="P7" i="2" s="1"/>
  <c r="BJ16" i="5"/>
  <c r="BJ15" i="5"/>
  <c r="AI7" i="2"/>
  <c r="AK7" i="2"/>
  <c r="AH7" i="2"/>
  <c r="AF7" i="2"/>
  <c r="AP7" i="2"/>
  <c r="AQ7" i="2" s="1"/>
  <c r="BD7" i="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Daniel Vitanza</author>
  </authors>
  <commentList>
    <comment ref="I1" authorId="0" shapeId="0" xr:uid="{0F0CAB3D-D0CB-4539-9A32-2C3C0B99286B}">
      <text>
        <r>
          <rPr>
            <b/>
            <sz val="9"/>
            <color indexed="81"/>
            <rFont val="Tahoma"/>
            <family val="2"/>
          </rPr>
          <t>Daniel Vitanza:</t>
        </r>
        <r>
          <rPr>
            <sz val="9"/>
            <color indexed="81"/>
            <rFont val="Tahoma"/>
            <family val="2"/>
          </rPr>
          <t xml:space="preserve">
No spaces or strange characters for the filename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<sst xmlns="http://schemas.openxmlformats.org/spreadsheetml/2006/main" count="1112" uniqueCount="261">
  <si>
    <t>Type</t>
  </si>
  <si>
    <t>Local Number</t>
  </si>
  <si>
    <t>Message</t>
  </si>
  <si>
    <t>Field 1</t>
  </si>
  <si>
    <t>Value 1</t>
  </si>
  <si>
    <t>Units 1</t>
  </si>
  <si>
    <t>Field 2</t>
  </si>
  <si>
    <t>Value 2</t>
  </si>
  <si>
    <t>Units 2</t>
  </si>
  <si>
    <t>Field 3</t>
  </si>
  <si>
    <t>Value 3</t>
  </si>
  <si>
    <t>Units 3</t>
  </si>
  <si>
    <t>Field 4</t>
  </si>
  <si>
    <t>Value 4</t>
  </si>
  <si>
    <t>Units 4</t>
  </si>
  <si>
    <t>Field 5</t>
  </si>
  <si>
    <t>Value 5</t>
  </si>
  <si>
    <t>Units 5</t>
  </si>
  <si>
    <t>Field 6</t>
  </si>
  <si>
    <t>Value 6</t>
  </si>
  <si>
    <t>Units 6</t>
  </si>
  <si>
    <t>Field 7</t>
  </si>
  <si>
    <t>Value 7</t>
  </si>
  <si>
    <t>Units 7</t>
  </si>
  <si>
    <t>Definition</t>
  </si>
  <si>
    <t>file_id</t>
  </si>
  <si>
    <t>type</t>
  </si>
  <si>
    <t>manufacturer</t>
  </si>
  <si>
    <t>product</t>
  </si>
  <si>
    <t>serial_number</t>
  </si>
  <si>
    <t>time_created</t>
  </si>
  <si>
    <t>Data</t>
  </si>
  <si>
    <t>garmin_product</t>
  </si>
  <si>
    <t>workout</t>
  </si>
  <si>
    <t>wkt_name</t>
  </si>
  <si>
    <t>num_valid_steps</t>
  </si>
  <si>
    <t>workout_step</t>
  </si>
  <si>
    <t>message_index</t>
  </si>
  <si>
    <t>wkt_step_name</t>
  </si>
  <si>
    <t>duration_type</t>
  </si>
  <si>
    <t>duration_value</t>
  </si>
  <si>
    <t>target_type</t>
  </si>
  <si>
    <t>target_value</t>
  </si>
  <si>
    <t>intensity</t>
  </si>
  <si>
    <t>duration_time</t>
  </si>
  <si>
    <t>s</t>
  </si>
  <si>
    <t>duration_distance</t>
  </si>
  <si>
    <t>m</t>
  </si>
  <si>
    <t>duration_hr</t>
  </si>
  <si>
    <t>% or bpm</t>
  </si>
  <si>
    <t>Workout Name</t>
  </si>
  <si>
    <t>Exercise</t>
  </si>
  <si>
    <t>Creation Date/Time</t>
  </si>
  <si>
    <t>sport</t>
  </si>
  <si>
    <t>sub_sport</t>
  </si>
  <si>
    <t>capabilities</t>
  </si>
  <si>
    <t>Step n°</t>
  </si>
  <si>
    <t>Duration Type</t>
  </si>
  <si>
    <t>Notes</t>
  </si>
  <si>
    <t>Set Type</t>
  </si>
  <si>
    <t>Duration Value</t>
  </si>
  <si>
    <t>Time</t>
  </si>
  <si>
    <t>Reps</t>
  </si>
  <si>
    <t>duration_reps</t>
  </si>
  <si>
    <t>Active</t>
  </si>
  <si>
    <t>Rest</t>
  </si>
  <si>
    <t>Cooldown</t>
  </si>
  <si>
    <t>Recovery</t>
  </si>
  <si>
    <t>Interval</t>
  </si>
  <si>
    <t>Other</t>
  </si>
  <si>
    <t>Distance</t>
  </si>
  <si>
    <t>Duration Type Value</t>
  </si>
  <si>
    <t>Duration Type Name</t>
  </si>
  <si>
    <t>Intensity Name</t>
  </si>
  <si>
    <t>Intensity Value</t>
  </si>
  <si>
    <t>Calories</t>
  </si>
  <si>
    <t>duration_calories</t>
  </si>
  <si>
    <t>Below Heart Rate</t>
  </si>
  <si>
    <t>Above Heart Rate</t>
  </si>
  <si>
    <t>Lap Button Press</t>
  </si>
  <si>
    <t>Field 8</t>
  </si>
  <si>
    <t>Value 8</t>
  </si>
  <si>
    <t>Units 8</t>
  </si>
  <si>
    <t>notes</t>
  </si>
  <si>
    <t>Target Type Name</t>
  </si>
  <si>
    <t>Target Type Value</t>
  </si>
  <si>
    <t>Field 9</t>
  </si>
  <si>
    <t>Value 9</t>
  </si>
  <si>
    <t>Units 9</t>
  </si>
  <si>
    <t>exercise_category</t>
  </si>
  <si>
    <t>Field 10</t>
  </si>
  <si>
    <t>Value 10</t>
  </si>
  <si>
    <t>Units 10</t>
  </si>
  <si>
    <t>exercise_name</t>
  </si>
  <si>
    <t>Field 11</t>
  </si>
  <si>
    <t>Value 11</t>
  </si>
  <si>
    <t>Units 11</t>
  </si>
  <si>
    <t>exercise_weight</t>
  </si>
  <si>
    <t>Field 12</t>
  </si>
  <si>
    <t>Value 12</t>
  </si>
  <si>
    <t>Units 12</t>
  </si>
  <si>
    <t>weight_display_unit</t>
  </si>
  <si>
    <t>Column1</t>
  </si>
  <si>
    <t>Column2</t>
  </si>
  <si>
    <t>Exercise Name</t>
  </si>
  <si>
    <t>Warm-up</t>
  </si>
  <si>
    <t>Mobilisations articulaires</t>
  </si>
  <si>
    <t>Wide-hands Push-up</t>
  </si>
  <si>
    <t>Not Set (Body Weight)</t>
  </si>
  <si>
    <t>Rétraction scapulaire
Expirer en montant
Inspirer en descendant</t>
  </si>
  <si>
    <t>/</t>
  </si>
  <si>
    <t>Target Value Name</t>
  </si>
  <si>
    <t>Unit</t>
  </si>
  <si>
    <t>Alternating Dumbbell Row</t>
  </si>
  <si>
    <t>Incline Reverse Fly</t>
  </si>
  <si>
    <t>Dumbbell Lying Triceps Extension</t>
  </si>
  <si>
    <t>Dumbbell Hammer Curl</t>
  </si>
  <si>
    <t>Walking Lunge</t>
  </si>
  <si>
    <t>Side Plank</t>
  </si>
  <si>
    <t>Lying External Rotation</t>
  </si>
  <si>
    <t>Weight</t>
  </si>
  <si>
    <t>Column3</t>
  </si>
  <si>
    <t>Column4</t>
  </si>
  <si>
    <t>Column5</t>
  </si>
  <si>
    <t>Column6</t>
  </si>
  <si>
    <t>Column7</t>
  </si>
  <si>
    <t>Column8</t>
  </si>
  <si>
    <t>Column9</t>
  </si>
  <si>
    <t>Column10</t>
  </si>
  <si>
    <t>Column11</t>
  </si>
  <si>
    <t>Column12</t>
  </si>
  <si>
    <t>Column13</t>
  </si>
  <si>
    <t>Column14</t>
  </si>
  <si>
    <t>Column15</t>
  </si>
  <si>
    <t>Column37</t>
  </si>
  <si>
    <t>Column38</t>
  </si>
  <si>
    <t>Column39</t>
  </si>
  <si>
    <t>Column40</t>
  </si>
  <si>
    <t>Column41</t>
  </si>
  <si>
    <t>Column42</t>
  </si>
  <si>
    <t>custom_target_value_low</t>
  </si>
  <si>
    <t>custom_target_value_high</t>
  </si>
  <si>
    <t>Field 13</t>
  </si>
  <si>
    <t>Value 13</t>
  </si>
  <si>
    <t>Units 13</t>
  </si>
  <si>
    <t>Field 14</t>
  </si>
  <si>
    <t>Value 14</t>
  </si>
  <si>
    <t>Units 14</t>
  </si>
  <si>
    <t>equipment</t>
  </si>
  <si>
    <t>Field 15</t>
  </si>
  <si>
    <t>Value 15</t>
  </si>
  <si>
    <t>Units 15</t>
  </si>
  <si>
    <t>XXX</t>
  </si>
  <si>
    <t>Column16</t>
  </si>
  <si>
    <t>Column17</t>
  </si>
  <si>
    <t>Column18</t>
  </si>
  <si>
    <t>Column19</t>
  </si>
  <si>
    <t>Column20</t>
  </si>
  <si>
    <t>Column21</t>
  </si>
  <si>
    <t>Column22</t>
  </si>
  <si>
    <t>Column23</t>
  </si>
  <si>
    <t>Column24</t>
  </si>
  <si>
    <t>Column25</t>
  </si>
  <si>
    <t>Column26</t>
  </si>
  <si>
    <t>Column27</t>
  </si>
  <si>
    <t>Column28</t>
  </si>
  <si>
    <t>Column29</t>
  </si>
  <si>
    <t>Column30</t>
  </si>
  <si>
    <t>Column31</t>
  </si>
  <si>
    <t>Column32</t>
  </si>
  <si>
    <t>Column33</t>
  </si>
  <si>
    <t>Column34</t>
  </si>
  <si>
    <t>Column35</t>
  </si>
  <si>
    <t>Column36</t>
  </si>
  <si>
    <t>Column43</t>
  </si>
  <si>
    <t>Column44</t>
  </si>
  <si>
    <t>Column45</t>
  </si>
  <si>
    <t>Column46</t>
  </si>
  <si>
    <t>Column47</t>
  </si>
  <si>
    <t>Column48</t>
  </si>
  <si>
    <t>DataCol1</t>
  </si>
  <si>
    <t>DataCol2</t>
  </si>
  <si>
    <t>DataCol3</t>
  </si>
  <si>
    <t>DataCol4</t>
  </si>
  <si>
    <t>DataCol5</t>
  </si>
  <si>
    <t>DataCol6</t>
  </si>
  <si>
    <t>DataCol7</t>
  </si>
  <si>
    <t>DataCol8</t>
  </si>
  <si>
    <t>DataCol9</t>
  </si>
  <si>
    <t>DataCol10</t>
  </si>
  <si>
    <t>DataCol11</t>
  </si>
  <si>
    <t>DataCol12</t>
  </si>
  <si>
    <t>DataCol13</t>
  </si>
  <si>
    <t>DataCol14</t>
  </si>
  <si>
    <t>DataCol15</t>
  </si>
  <si>
    <t>DataCol16</t>
  </si>
  <si>
    <t>DataCol17</t>
  </si>
  <si>
    <t>DataCol18</t>
  </si>
  <si>
    <t>DataCol19</t>
  </si>
  <si>
    <t>DataCol20</t>
  </si>
  <si>
    <t>DataCol21</t>
  </si>
  <si>
    <t>DataCol22</t>
  </si>
  <si>
    <t>DataCol23</t>
  </si>
  <si>
    <t>DataCol24</t>
  </si>
  <si>
    <t>DataCol25</t>
  </si>
  <si>
    <t>DataCol26</t>
  </si>
  <si>
    <t>DataCol27</t>
  </si>
  <si>
    <t>DataCol28</t>
  </si>
  <si>
    <t>DataCol29</t>
  </si>
  <si>
    <t>DataCol30</t>
  </si>
  <si>
    <t>DataCol31</t>
  </si>
  <si>
    <t>DataCol32</t>
  </si>
  <si>
    <t>DataCol33</t>
  </si>
  <si>
    <t>DataCol34</t>
  </si>
  <si>
    <t>DataCol35</t>
  </si>
  <si>
    <t>DataCol36</t>
  </si>
  <si>
    <t>DataCol37</t>
  </si>
  <si>
    <t>DataCol38</t>
  </si>
  <si>
    <t>DataCol39</t>
  </si>
  <si>
    <t>DataCol40</t>
  </si>
  <si>
    <t>DataCol41</t>
  </si>
  <si>
    <t>DataCol42</t>
  </si>
  <si>
    <t>DataCol43</t>
  </si>
  <si>
    <t>DataCol44</t>
  </si>
  <si>
    <t>DataCol45</t>
  </si>
  <si>
    <t>DataCol46</t>
  </si>
  <si>
    <t>DataCol47</t>
  </si>
  <si>
    <t>DataCol48</t>
  </si>
  <si>
    <t>exercise_title</t>
  </si>
  <si>
    <t>Column49</t>
  </si>
  <si>
    <t>Column50</t>
  </si>
  <si>
    <t>Column51</t>
  </si>
  <si>
    <t>Column52</t>
  </si>
  <si>
    <t>Column53</t>
  </si>
  <si>
    <t>Column54</t>
  </si>
  <si>
    <t>Column55</t>
  </si>
  <si>
    <t>Column56</t>
  </si>
  <si>
    <t>Column57</t>
  </si>
  <si>
    <t>Column58</t>
  </si>
  <si>
    <t>Column59</t>
  </si>
  <si>
    <t>Column60</t>
  </si>
  <si>
    <t>Column61</t>
  </si>
  <si>
    <t>Output</t>
  </si>
  <si>
    <t>Filename</t>
  </si>
  <si>
    <t>Single-leg Standing Dumbbell Calf Raise</t>
  </si>
  <si>
    <t>Dumbbell Bench Press</t>
  </si>
  <si>
    <t>Dumbbell Kick-back</t>
  </si>
  <si>
    <t>Seated Alternating Dumbbell Biceps Curl</t>
  </si>
  <si>
    <t>Goblet Squat</t>
  </si>
  <si>
    <t>Seated Lateral Raise</t>
  </si>
  <si>
    <t>Plank</t>
  </si>
  <si>
    <t>Lying Dumbbell Pull-over to Extension</t>
  </si>
  <si>
    <t>Mains // au sol, épaules basses
Saisir haltères sur l'arrière
Inspirer en montant
Expirer en descendant</t>
  </si>
  <si>
    <t>Rotation poignet
Pas tendre le bras en bas
Inspirer en descendant
Expirer en montant</t>
  </si>
  <si>
    <t>Bras droit
Bras de soutien pas tendu
Pas verrouiller en haut
Inspirer en descendant
Expirer en montant</t>
  </si>
  <si>
    <t>Bras gauche
Bras de soutien pas tendu
Pas verrouiller en haut
Inspirer en descendant
Expirer en montant</t>
  </si>
  <si>
    <t>Pieds 11h55
Genoux alignés avec pieds
Inspirer en descendant
Retenir respiration
Expirer en fin de montée</t>
  </si>
  <si>
    <t>Bien Droit</t>
  </si>
  <si>
    <t>Jambre droite
Haltère du côté travaillé
Stabiliser avec banc
Lock en haut
Inspirer en descendant
Expirer en montant</t>
  </si>
  <si>
    <t>Jambre gauche
Haltère du côté travaillé
Stabiliser avec banc
Lock en haut
Inspirer en descendant
Expirer en montant</t>
  </si>
  <si>
    <t>FullBody - Beginner - 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</si>
</sst>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2"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8"/>
      <name val="Calibri"/>
      <family val="2"/>
      <scheme val="minor"/>
    </font>
    <font>
      <sz val="9"/>
      <color indexed="81"/>
      <name val="Tahoma"/>
      <family val="2"/>
    </font>
    <font>
      <b/>
      <sz val="9"/>
      <color indexed="81"/>
      <name val="Tahoma"/>
      <family val="2"/>
    </font>
    <font>
      <sz val="11"/>
      <name val="Calibri"/>
      <family val="2"/>
      <scheme val="minor"/>
    </font>
  </fonts>
  <fills count="4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
      <patternFill patternType="solid">
        <fgColor rgb="FF00B050"/>
        <bgColor indexed="64"/>
      </patternFill>
    </fill>
    <fill>
      <patternFill patternType="solid">
        <fgColor rgb="FFFFC000"/>
        <bgColor indexed="64"/>
      </patternFill>
    </fill>
    <fill>
      <patternFill patternType="solid">
        <fgColor theme="4" tint="0.79998168889431442"/>
        <bgColor theme="4" tint="0.79998168889431442"/>
      </patternFill>
    </fill>
    <fill>
      <patternFill patternType="solid">
        <fgColor theme="2"/>
        <bgColor indexed="64"/>
      </patternFill>
    </fill>
    <fill>
      <patternFill patternType="solid">
        <fgColor theme="1" tint="0.499984740745262"/>
        <bgColor indexed="64"/>
      </patternFill>
    </fill>
    <fill>
      <patternFill patternType="solid">
        <fgColor theme="1"/>
        <bgColor indexed="64"/>
      </patternFill>
    </fill>
    <fill>
      <patternFill patternType="solid">
        <fgColor theme="1"/>
        <bgColor theme="4"/>
      </patternFill>
    </fill>
    <fill>
      <patternFill patternType="solid">
        <fgColor theme="7"/>
        <bgColor indexed="64"/>
      </patternFill>
    </fill>
    <fill>
      <patternFill patternType="solid">
        <fgColor theme="8"/>
        <bgColor indexed="64"/>
      </patternFill>
    </fill>
  </fills>
  <borders count="15">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thin">
        <color theme="4" tint="0.39997558519241921"/>
      </top>
      <bottom style="thin">
        <color theme="4" tint="0.39997558519241921"/>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thin">
        <color theme="4" tint="0.39997558519241921"/>
      </top>
      <bottom/>
      <diagonal/>
    </border>
    <border>
      <left/>
      <right style="thin">
        <color theme="4" tint="0.39997558519241921"/>
      </right>
      <top style="thin">
        <color theme="4" tint="0.39997558519241921"/>
      </top>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43">
    <xf numFmtId="0" fontId="0" fillId="0" borderId="0" xfId="0"/>
    <xf numFmtId="0" fontId="0" fillId="0" borderId="0" xfId="0" applyAlignment="1">
      <alignment horizontal="center"/>
    </xf>
    <xf numFmtId="0" fontId="0" fillId="0" borderId="0" xfId="0" applyAlignment="1">
      <alignment horizontal="center" vertical="center"/>
    </xf>
    <xf numFmtId="0" fontId="16" fillId="0" borderId="0" xfId="0" applyFont="1" applyAlignment="1">
      <alignment horizontal="center" vertical="center"/>
    </xf>
    <xf numFmtId="0" fontId="14" fillId="0" borderId="0" xfId="0" applyFont="1" applyAlignment="1">
      <alignment horizontal="center" vertical="center"/>
    </xf>
    <xf numFmtId="0" fontId="14" fillId="34" borderId="0" xfId="0" applyFont="1" applyFill="1" applyAlignment="1">
      <alignment horizontal="center" vertical="center"/>
    </xf>
    <xf numFmtId="0" fontId="0" fillId="0" borderId="0" xfId="0" applyAlignment="1">
      <alignment horizontal="left" vertical="center"/>
    </xf>
    <xf numFmtId="0" fontId="0" fillId="36" borderId="13" xfId="0" applyFill="1" applyBorder="1" applyAlignment="1">
      <alignment horizontal="center" vertical="center"/>
    </xf>
    <xf numFmtId="0" fontId="0" fillId="0" borderId="13" xfId="0" applyBorder="1" applyAlignment="1">
      <alignment horizontal="center" vertical="center"/>
    </xf>
    <xf numFmtId="0" fontId="0" fillId="0" borderId="10" xfId="0" applyBorder="1" applyAlignment="1">
      <alignment horizontal="center" vertical="center"/>
    </xf>
    <xf numFmtId="0" fontId="16" fillId="36" borderId="13" xfId="0" applyFont="1" applyFill="1" applyBorder="1" applyAlignment="1">
      <alignment horizontal="center" vertical="center"/>
    </xf>
    <xf numFmtId="0" fontId="16" fillId="37" borderId="13" xfId="0" applyFont="1" applyFill="1" applyBorder="1" applyAlignment="1">
      <alignment horizontal="center" vertical="center"/>
    </xf>
    <xf numFmtId="0" fontId="16" fillId="36" borderId="14" xfId="0" applyFont="1" applyFill="1" applyBorder="1" applyAlignment="1">
      <alignment horizontal="center" vertical="center"/>
    </xf>
    <xf numFmtId="0" fontId="14" fillId="35" borderId="13" xfId="0" applyFont="1" applyFill="1" applyBorder="1" applyAlignment="1">
      <alignment horizontal="center" vertical="center"/>
    </xf>
    <xf numFmtId="0" fontId="0" fillId="38" borderId="10" xfId="0" applyFill="1" applyBorder="1" applyAlignment="1">
      <alignment horizontal="center" vertical="center"/>
    </xf>
    <xf numFmtId="0" fontId="0" fillId="34" borderId="13" xfId="0" applyFill="1" applyBorder="1" applyAlignment="1">
      <alignment horizontal="center" vertical="center"/>
    </xf>
    <xf numFmtId="1" fontId="14" fillId="35" borderId="0" xfId="0" applyNumberFormat="1" applyFont="1" applyFill="1" applyAlignment="1">
      <alignment horizontal="center" vertical="center"/>
    </xf>
    <xf numFmtId="0" fontId="0" fillId="33" borderId="0" xfId="0" applyFill="1"/>
    <xf numFmtId="0" fontId="0" fillId="0" borderId="0" xfId="0" applyAlignment="1">
      <alignment horizontal="left"/>
    </xf>
    <xf numFmtId="0" fontId="16" fillId="0" borderId="0" xfId="0" applyFont="1" applyAlignment="1">
      <alignment horizontal="left" vertical="center"/>
    </xf>
    <xf numFmtId="0" fontId="0" fillId="33" borderId="0" xfId="0" applyFill="1" applyAlignment="1">
      <alignment horizontal="left"/>
    </xf>
    <xf numFmtId="0" fontId="0" fillId="39" borderId="0" xfId="0" applyFill="1" applyAlignment="1">
      <alignment horizontal="center" vertical="center"/>
    </xf>
    <xf numFmtId="0" fontId="0" fillId="39" borderId="0" xfId="0" applyFill="1" applyAlignment="1">
      <alignment horizontal="left" vertical="center"/>
    </xf>
    <xf numFmtId="0" fontId="13" fillId="40" borderId="13" xfId="0" applyFont="1" applyFill="1" applyBorder="1" applyAlignment="1">
      <alignment horizontal="center" vertical="center"/>
    </xf>
    <xf numFmtId="0" fontId="21" fillId="33" borderId="0" xfId="0" applyFont="1" applyFill="1" applyAlignment="1">
      <alignment horizontal="center" vertical="center"/>
    </xf>
    <xf numFmtId="0" fontId="16" fillId="33" borderId="12" xfId="0" applyFont="1" applyFill="1" applyBorder="1" applyAlignment="1" applyProtection="1">
      <alignment horizontal="center" vertical="center"/>
      <protection locked="0"/>
    </xf>
    <xf numFmtId="0" fontId="0" fillId="0" borderId="11" xfId="0"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0" xfId="0" applyAlignment="1" applyProtection="1">
      <alignment horizontal="left" vertical="center"/>
      <protection locked="0"/>
    </xf>
    <xf numFmtId="0" fontId="0" fillId="0" borderId="0" xfId="0" applyAlignment="1" applyProtection="1">
      <alignment horizontal="center"/>
      <protection locked="0"/>
    </xf>
    <xf numFmtId="0" fontId="0" fillId="0" borderId="0" xfId="0" applyAlignment="1" applyProtection="1">
      <alignment horizontal="left"/>
      <protection locked="0"/>
    </xf>
    <xf numFmtId="0" fontId="0" fillId="0" borderId="0" xfId="0" applyProtection="1">
      <protection locked="0"/>
    </xf>
    <xf numFmtId="0" fontId="16" fillId="41" borderId="12" xfId="0" applyFont="1" applyFill="1" applyBorder="1" applyAlignment="1" applyProtection="1">
      <alignment horizontal="center" vertical="center"/>
      <protection locked="0"/>
    </xf>
    <xf numFmtId="0" fontId="16" fillId="42" borderId="12" xfId="0" applyFont="1" applyFill="1" applyBorder="1" applyAlignment="1" applyProtection="1">
      <alignment horizontal="center" vertical="center"/>
      <protection locked="0"/>
    </xf>
    <xf numFmtId="0" fontId="13" fillId="39" borderId="0" xfId="0" applyFont="1" applyFill="1" applyAlignment="1" applyProtection="1">
      <alignment horizontal="center" vertical="center"/>
      <protection locked="0"/>
    </xf>
    <xf numFmtId="0" fontId="0" fillId="0" borderId="0" xfId="0" applyAlignment="1" applyProtection="1">
      <alignment horizontal="center" vertical="center" wrapText="1"/>
      <protection locked="0"/>
    </xf>
    <xf numFmtId="0" fontId="14" fillId="34" borderId="0" xfId="0" applyFont="1" applyFill="1" applyAlignment="1" applyProtection="1">
      <alignment horizontal="center" vertical="center"/>
      <protection locked="0"/>
    </xf>
    <xf numFmtId="0" fontId="0" fillId="34" borderId="0" xfId="0" applyFill="1" applyAlignment="1" applyProtection="1">
      <alignment horizontal="center" vertical="center"/>
      <protection locked="0"/>
    </xf>
    <xf numFmtId="0" fontId="14" fillId="0" borderId="0" xfId="0" applyFont="1" applyAlignment="1" applyProtection="1">
      <alignment horizontal="center" vertical="center"/>
      <protection locked="0"/>
    </xf>
    <xf numFmtId="0" fontId="0" fillId="0" borderId="0" xfId="0" applyAlignment="1" applyProtection="1">
      <alignment horizontal="left" vertical="center" wrapText="1"/>
      <protection locked="0"/>
    </xf>
    <xf numFmtId="22" fontId="0" fillId="0" borderId="11" xfId="0" applyNumberFormat="1" applyBorder="1" applyAlignment="1">
      <alignment horizontal="center" vertical="center"/>
    </xf>
    <xf numFmtId="0" fontId="0" fillId="0" borderId="11" xfId="0" applyBorder="1" applyAlignment="1">
      <alignment horizontal="center" vertical="center"/>
    </xf>
    <xf numFmtId="0" fontId="0" fillId="0" borderId="0" xfId="0" applyFill="1" applyAlignment="1" applyProtection="1">
      <alignment horizontal="center" vertical="center"/>
      <protection locked="0"/>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65">
    <dxf>
      <fill>
        <patternFill patternType="none">
          <fgColor indexed="64"/>
          <bgColor auto="1"/>
        </patternFill>
      </fill>
      <alignment horizontal="center" vertical="center" textRotation="0" wrapText="0" indent="0" justifyLastLine="0" shrinkToFit="0" readingOrder="0"/>
      <protection locked="0" hidden="0"/>
    </dxf>
    <dxf>
      <alignment horizontal="center" vertical="center" textRotation="0" wrapText="1" indent="0" justifyLastLine="0" shrinkToFit="0" readingOrder="0"/>
      <protection locked="0" hidden="0"/>
    </dxf>
    <dxf>
      <alignment horizontal="center" vertical="center" textRotation="0" wrapText="0" indent="0" justifyLastLine="0" shrinkToFit="0" readingOrder="0"/>
      <protection locked="0" hidden="0"/>
    </dxf>
    <dxf>
      <alignment horizontal="center" textRotation="0" wrapText="0" indent="0" justifyLastLine="0" shrinkToFit="0" readingOrder="0"/>
    </dxf>
    <dxf>
      <alignment horizontal="center" textRotation="0" wrapText="0" indent="0" justifyLastLine="0" shrinkToFit="0" readingOrder="0"/>
    </dxf>
    <dxf>
      <alignment horizontal="center" vertical="center" textRotation="0" wrapText="0" indent="0" justifyLastLine="0" shrinkToFit="0" readingOrder="0"/>
    </dxf>
    <dxf>
      <alignment horizontal="center" textRotation="0" wrapText="0" indent="0" justifyLastLine="0" shrinkToFit="0" readingOrder="0"/>
    </dxf>
    <dxf>
      <font>
        <strike val="0"/>
        <outline val="0"/>
        <shadow val="0"/>
        <u val="none"/>
        <vertAlign val="baseline"/>
        <sz val="11"/>
        <color auto="1"/>
        <name val="Calibri"/>
        <family val="2"/>
        <scheme val="minor"/>
      </font>
      <fill>
        <patternFill patternType="solid">
          <fgColor indexed="64"/>
          <bgColor rgb="FFFFFF00"/>
        </patternFill>
      </fil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center" textRotation="0" wrapText="0" indent="0" justifyLastLine="0" shrinkToFit="0" readingOrder="0"/>
    </dxf>
    <dxf>
      <numFmt numFmtId="0" formatCode="General"/>
      <alignment horizontal="left"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left"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lef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rgb="FFFF0000"/>
        <name val="Calibri"/>
        <family val="2"/>
        <scheme val="minor"/>
      </font>
      <fill>
        <patternFill patternType="solid">
          <fgColor indexed="64"/>
          <bgColor rgb="FF00B050"/>
        </patternFill>
      </fill>
      <alignment horizontal="center" vertical="center" textRotation="0" wrapText="0" indent="0" justifyLastLine="0" shrinkToFit="0" readingOrder="0"/>
    </dxf>
    <dxf>
      <font>
        <b val="0"/>
        <i val="0"/>
        <strike val="0"/>
        <condense val="0"/>
        <extend val="0"/>
        <outline val="0"/>
        <shadow val="0"/>
        <u val="none"/>
        <vertAlign val="baseline"/>
        <sz val="11"/>
        <color rgb="FFFF0000"/>
        <name val="Calibri"/>
        <family val="2"/>
        <scheme val="minor"/>
      </font>
      <fill>
        <patternFill patternType="solid">
          <fgColor indexed="64"/>
          <bgColor rgb="FF00B050"/>
        </patternFill>
      </fill>
      <alignment horizontal="center" vertical="center" textRotation="0" wrapText="0" indent="0" justifyLastLine="0" shrinkToFit="0" readingOrder="0"/>
    </dxf>
    <dxf>
      <font>
        <b val="0"/>
        <i val="0"/>
        <strike val="0"/>
        <condense val="0"/>
        <extend val="0"/>
        <outline val="0"/>
        <shadow val="0"/>
        <u val="none"/>
        <vertAlign val="baseline"/>
        <sz val="11"/>
        <color rgb="FFFF0000"/>
        <name val="Calibri"/>
        <family val="2"/>
        <scheme val="minor"/>
      </font>
      <fill>
        <patternFill patternType="solid">
          <fgColor indexed="64"/>
          <bgColor rgb="FF00B050"/>
        </patternFill>
      </fill>
      <alignment horizontal="center" vertical="center" textRotation="0" wrapText="0" indent="0" justifyLastLine="0" shrinkToFit="0" readingOrder="0"/>
    </dxf>
    <dxf>
      <font>
        <b val="0"/>
        <i val="0"/>
        <strike val="0"/>
        <condense val="0"/>
        <extend val="0"/>
        <outline val="0"/>
        <shadow val="0"/>
        <u val="none"/>
        <vertAlign val="baseline"/>
        <sz val="11"/>
        <color rgb="FFFF0000"/>
        <name val="Calibri"/>
        <family val="2"/>
        <scheme val="minor"/>
      </font>
      <fill>
        <patternFill patternType="solid">
          <fgColor indexed="64"/>
          <bgColor rgb="FF00B050"/>
        </patternFill>
      </fill>
      <alignment horizontal="center" vertical="center" textRotation="0" wrapText="0" indent="0" justifyLastLine="0" shrinkToFit="0" readingOrder="0"/>
    </dxf>
    <dxf>
      <font>
        <b val="0"/>
        <i val="0"/>
        <strike val="0"/>
        <condense val="0"/>
        <extend val="0"/>
        <outline val="0"/>
        <shadow val="0"/>
        <u val="none"/>
        <vertAlign val="baseline"/>
        <sz val="11"/>
        <color rgb="FFFF0000"/>
        <name val="Calibri"/>
        <family val="2"/>
        <scheme val="minor"/>
      </font>
      <fill>
        <patternFill patternType="solid">
          <fgColor indexed="64"/>
          <bgColor rgb="FF00B050"/>
        </patternFill>
      </fill>
      <alignment horizontal="center" vertical="center" textRotation="0" wrapText="0" indent="0" justifyLastLine="0" shrinkToFit="0" readingOrder="0"/>
    </dxf>
    <dxf>
      <alignment horizontal="center" vertical="center" textRotation="0" wrapText="0" indent="0" justifyLastLine="0" shrinkToFit="0" readingOrder="0"/>
      <border diagonalUp="0" diagonalDown="0">
        <left/>
        <right/>
        <top style="thin">
          <color theme="4" tint="0.39997558519241921"/>
        </top>
        <bottom/>
        <vertical/>
        <horizontal/>
      </border>
    </dxf>
    <dxf>
      <fill>
        <patternFill patternType="solid">
          <fgColor indexed="64"/>
          <bgColor rgb="FF00B050"/>
        </patternFill>
      </fill>
      <alignment horizontal="center" vertical="center" textRotation="0" wrapText="0" indent="0" justifyLastLine="0" shrinkToFit="0" readingOrder="0"/>
      <border diagonalUp="0" diagonalDown="0">
        <left/>
        <right/>
        <top style="thin">
          <color theme="4" tint="0.39997558519241921"/>
        </top>
        <bottom/>
        <vertical/>
        <horizontal/>
      </border>
    </dxf>
    <dxf>
      <border outline="0">
        <left style="thin">
          <color theme="4" tint="0.39997558519241921"/>
        </left>
      </border>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center" textRotation="0" wrapText="0" indent="0" justifyLastLine="0" shrinkToFit="0" readingOrder="0"/>
    </dxf>
    <dxf>
      <numFmt numFmtId="0" formatCode="General"/>
      <alignment horizontal="left"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left"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209550</xdr:colOff>
          <xdr:row>0</xdr:row>
          <xdr:rowOff>85725</xdr:rowOff>
        </xdr:from>
        <xdr:to>
          <xdr:col>2</xdr:col>
          <xdr:colOff>1438275</xdr:colOff>
          <xdr:row>3</xdr:row>
          <xdr:rowOff>38100</xdr:rowOff>
        </xdr:to>
        <xdr:sp macro="" textlink="">
          <xdr:nvSpPr>
            <xdr:cNvPr id="1025" name="GenerateButton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Data" displayName="Data" ref="A5:BD76" totalsRowShown="0" headerRowDxfId="164" dataDxfId="163">
  <autoFilter ref="A5:BD76" xr:uid="{00000000-0009-0000-0100-000001000000}"/>
  <tableColumns count="56">
    <tableColumn id="1" xr3:uid="{00000000-0010-0000-0000-000001000000}" name="Step n°" dataDxfId="2"/>
    <tableColumn id="2" xr3:uid="{00000000-0010-0000-0000-000002000000}" name="Set Type" dataDxfId="0"/>
    <tableColumn id="3" xr3:uid="{00000000-0010-0000-0000-000003000000}" name="Exercise" dataDxfId="1"/>
    <tableColumn id="4" xr3:uid="{00000000-0010-0000-0000-000004000000}" name="Duration Type" dataDxfId="162"/>
    <tableColumn id="5" xr3:uid="{00000000-0010-0000-0000-000005000000}" name="Duration Value" dataDxfId="161"/>
    <tableColumn id="7" xr3:uid="{00000000-0010-0000-0000-000007000000}" name="Weight" dataDxfId="160"/>
    <tableColumn id="8" xr3:uid="{00000000-0010-0000-0000-000008000000}" name="Notes" dataDxfId="159"/>
    <tableColumn id="6" xr3:uid="{BF5B6BFF-AA54-4BB7-8789-62D465E8F3A5}" name="DataCol1" dataDxfId="158">
      <calculatedColumnFormula>"Data"</calculatedColumnFormula>
    </tableColumn>
    <tableColumn id="9" xr3:uid="{51F43E89-A4A3-4B8D-B275-1C4A6BB71E85}" name="DataCol2" dataDxfId="157">
      <calculatedColumnFormula>0</calculatedColumnFormula>
    </tableColumn>
    <tableColumn id="10" xr3:uid="{E57145E4-D155-4F5B-B91E-A9837B1BCE1F}" name="DataCol3" dataDxfId="156">
      <calculatedColumnFormula>"workout_step"</calculatedColumnFormula>
    </tableColumn>
    <tableColumn id="11" xr3:uid="{A01EFC5C-2ACD-4736-BB8A-ED385BE3B587}" name="DataCol4" dataDxfId="155"/>
    <tableColumn id="12" xr3:uid="{3AFDC297-2E44-42C8-9C5F-30E46C1B8150}" name="DataCol5" dataDxfId="154"/>
    <tableColumn id="13" xr3:uid="{FDE2EA47-CF66-4E90-B8EE-62E3D89F1186}" name="DataCol6" dataDxfId="153"/>
    <tableColumn id="14" xr3:uid="{B8EB1C9C-2D1E-429F-A3B6-235269AFA2E0}" name="DataCol7" dataDxfId="152">
      <calculatedColumnFormula>IF(VLOOKUP(Data[[#This Row],[Duration Type]],Table_Duration_Type[],3,FALSE)="/","",VLOOKUP(Data[[#This Row],[Duration Type]],Table_Duration_Type[],3,FALSE))</calculatedColumnFormula>
    </tableColumn>
    <tableColumn id="15" xr3:uid="{2AADEED6-407A-41B4-A6BB-80E3F6ED9742}" name="DataCol8" dataDxfId="151">
      <calculatedColumnFormula>IF(N6&lt;&gt;"",IF(N6='Reference Lists'!$C$2,SUBSTITUTE(TEXT(Data[[#This Row],[Duration Value]],"0,0"),",","."),Data[[#This Row],[Duration Value]]),"")</calculatedColumnFormula>
    </tableColumn>
    <tableColumn id="16" xr3:uid="{C405EE3C-F67D-4C6F-91DE-748F0A236AD4}" name="DataCol9" dataDxfId="150">
      <calculatedColumnFormula>IF(O6&lt;&gt;"","XXX","")</calculatedColumnFormula>
    </tableColumn>
    <tableColumn id="17" xr3:uid="{C5811328-97F1-4258-9A6F-3E91E709AA38}" name="DataCol10" dataDxfId="149"/>
    <tableColumn id="18" xr3:uid="{1832D9C0-42C6-44A4-A93E-EA39A1E427DE}" name="DataCol11" dataDxfId="148">
      <calculatedColumnFormula>0</calculatedColumnFormula>
    </tableColumn>
    <tableColumn id="19" xr3:uid="{9A47E726-2F3C-483D-9ACE-DD6078842638}" name="DataCol12" dataDxfId="147">
      <calculatedColumnFormula>IF(R6&lt;&gt;"","XXX","")</calculatedColumnFormula>
    </tableColumn>
    <tableColumn id="20" xr3:uid="{594BFB5C-909F-456A-A58A-CB2C9FAF8631}" name="DataCol13" dataDxfId="146"/>
    <tableColumn id="21" xr3:uid="{5CCBEECA-7632-4B8E-AA36-E5519F2F99FB}" name="DataCol14" dataDxfId="145"/>
    <tableColumn id="22" xr3:uid="{0FB3695F-2094-4652-9072-7B8394BAD861}" name="DataCol15" dataDxfId="144"/>
    <tableColumn id="23" xr3:uid="{4BBCB6C5-225C-47B2-AA1C-3BDE83380D18}" name="DataCol16" dataDxfId="143"/>
    <tableColumn id="24" xr3:uid="{F1D8F208-44CF-48FD-9F4A-9A33845C779F}" name="DataCol17" dataDxfId="142"/>
    <tableColumn id="25" xr3:uid="{4DAC91E2-E7A7-43C0-BC0A-101F4BB1DEDF}" name="DataCol18" dataDxfId="141"/>
    <tableColumn id="26" xr3:uid="{0FC68C2C-AE15-4010-9357-AAF86B4B031F}" name="DataCol19" dataDxfId="140">
      <calculatedColumnFormula>IF(AA6&lt;&gt;"","notes","")</calculatedColumnFormula>
    </tableColumn>
    <tableColumn id="27" xr3:uid="{B52B1194-73FC-4A06-9102-447B36EC8FC8}" name="DataCol20" dataDxfId="139">
      <calculatedColumnFormula>IF(Data[[#This Row],[Notes]]="","",_xlfn.CONCAT("""",SUBSTITUTE(Data[[#This Row],[Notes]],CHAR(10),"%breakline%"),""""))</calculatedColumnFormula>
    </tableColumn>
    <tableColumn id="28" xr3:uid="{8226FAB4-4F4D-4086-A833-658D28F685F1}" name="DataCol21" dataDxfId="138">
      <calculatedColumnFormula>IF(AA6&lt;&gt;"","XXX","")</calculatedColumnFormula>
    </tableColumn>
    <tableColumn id="29" xr3:uid="{BEAF5F61-0EDB-4204-BADE-89F708F7F748}" name="DataCol22" dataDxfId="137"/>
    <tableColumn id="30" xr3:uid="{8E85279C-E59F-4C70-A751-990C30943C61}" name="DataCol23" dataDxfId="136">
      <calculatedColumnFormula>Data[[#This Row],[Step n°]]-1</calculatedColumnFormula>
    </tableColumn>
    <tableColumn id="31" xr3:uid="{029C8669-DE86-4FB2-ACAF-EC94FAFB8AFE}" name="DataCol24" dataDxfId="135">
      <calculatedColumnFormula>IF(AD6&lt;&gt;"","XXX","")</calculatedColumnFormula>
    </tableColumn>
    <tableColumn id="32" xr3:uid="{A9B4202D-A044-4BB7-A122-895AFFF43E37}" name="DataCol25" dataDxfId="134">
      <calculatedColumnFormula>IF(AG6&lt;&gt;"","exercise_category","")</calculatedColumnFormula>
    </tableColumn>
    <tableColumn id="33" xr3:uid="{1AE9431F-A84B-48AE-93D5-88CEC83F04EF}" name="DataCol26" dataDxfId="133">
      <calculatedColumnFormula>IF(_xlfn.IFNA(VLOOKUP(Data[[#This Row],[Exercise]],Table_Exercises[],2,FALSE),"")="","",_xlfn.IFNA(VLOOKUP(Data[[#This Row],[Exercise]],Table_Exercises[],2,FALSE),""))</calculatedColumnFormula>
    </tableColumn>
    <tableColumn id="34" xr3:uid="{51A3E42C-A704-4A67-9E4E-87A4EE54282D}" name="DataCol27" dataDxfId="132">
      <calculatedColumnFormula>IF(AG6&lt;&gt;"","XXX","")</calculatedColumnFormula>
    </tableColumn>
    <tableColumn id="35" xr3:uid="{0D2C7965-7B8C-4F01-934D-D82B140A4F6B}" name="DataCol28" dataDxfId="131">
      <calculatedColumnFormula>IF(AJ6&lt;&gt;"","exercise_name","")</calculatedColumnFormula>
    </tableColumn>
    <tableColumn id="36" xr3:uid="{A1F1AB48-57A0-4EAD-9CF8-914BBB14DF0C}" name="DataCol29" dataDxfId="130">
      <calculatedColumnFormula>_xlfn.IFNA(IF(VLOOKUP(Data[[#This Row],[Exercise]],Table_Exercises[],3,FALSE)="/","",VLOOKUP(Data[[#This Row],[Exercise]],Table_Exercises[],3,FALSE)),"")</calculatedColumnFormula>
    </tableColumn>
    <tableColumn id="37" xr3:uid="{CFF00D08-3B06-4DD9-9F41-259D2E8DB7FC}" name="DataCol30" dataDxfId="129">
      <calculatedColumnFormula>IF(AJ6&lt;&gt;"","XXX","")</calculatedColumnFormula>
    </tableColumn>
    <tableColumn id="38" xr3:uid="{94C71686-F139-4451-ACE9-0C1E696FB4E2}" name="DataCol31" dataDxfId="128">
      <calculatedColumnFormula>IF(OR(Data[[#This Row],[Weight]]="",Data[[#This Row],[Weight]]=0),"","exercise_weight")</calculatedColumnFormula>
    </tableColumn>
    <tableColumn id="39" xr3:uid="{808A3DE3-31C7-4671-8686-636353B385EE}" name="DataCol32" dataDxfId="127">
      <calculatedColumnFormula>IF(OR(Data[[#This Row],[Weight]]="",Data[[#This Row],[Weight]]=0),"",SUBSTITUTE(TEXT(Data[[#This Row],[Weight]],"0,0"),",","."))</calculatedColumnFormula>
    </tableColumn>
    <tableColumn id="40" xr3:uid="{075001D3-534B-4F44-9128-7565C15E8272}" name="DataCol33" dataDxfId="126">
      <calculatedColumnFormula>IF(AM6&lt;&gt;"","XXX","")</calculatedColumnFormula>
    </tableColumn>
    <tableColumn id="41" xr3:uid="{1E15A0FD-A88E-4C5F-B41A-5900DE4F6DFA}" name="DataCol34" dataDxfId="125">
      <calculatedColumnFormula>IF(AL6&lt;&gt;"","weight_display_unit","")</calculatedColumnFormula>
    </tableColumn>
    <tableColumn id="42" xr3:uid="{8E9F5BD6-4888-47BC-B5F1-2F0CE96A547E}" name="DataCol35" dataDxfId="124">
      <calculatedColumnFormula>IF(AL6&lt;&gt;"",1,"")</calculatedColumnFormula>
    </tableColumn>
    <tableColumn id="43" xr3:uid="{A4FBED9D-C83A-40F6-87D6-E69ABA975B04}" name="DataCol36" dataDxfId="123">
      <calculatedColumnFormula>IF(AP6&lt;&gt;"","XXX","")</calculatedColumnFormula>
    </tableColumn>
    <tableColumn id="44" xr3:uid="{974012DC-394A-4C05-AE22-F04C7208F552}" name="DataCol37" dataDxfId="122"/>
    <tableColumn id="45" xr3:uid="{72DCDCF6-44CA-46AD-B50C-ABCEE53094B5}" name="DataCol38" dataDxfId="121">
      <calculatedColumnFormula>VLOOKUP(Data[[#This Row],[Duration Type]],Table_Duration_Type[],2,FALSE)</calculatedColumnFormula>
    </tableColumn>
    <tableColumn id="46" xr3:uid="{95B24088-5AF3-4378-A02C-F907F784ACCD}" name="DataCol39" dataDxfId="120">
      <calculatedColumnFormula>IF(AS6&lt;&gt;"","XXX","")</calculatedColumnFormula>
    </tableColumn>
    <tableColumn id="47" xr3:uid="{0E54E9A6-62F7-4CEE-9FD0-D4C6A3BCB3A9}" name="DataCol40" dataDxfId="119"/>
    <tableColumn id="48" xr3:uid="{BEDF9F1B-BF89-4A40-8783-4BF627E7F168}" name="DataCol41" dataDxfId="118">
      <calculatedColumnFormula>2</calculatedColumnFormula>
    </tableColumn>
    <tableColumn id="49" xr3:uid="{D054F4AE-97CE-444F-AD9A-9F717F367467}" name="DataCol42" dataDxfId="117">
      <calculatedColumnFormula>IF(AV6&lt;&gt;"","XXX","")</calculatedColumnFormula>
    </tableColumn>
    <tableColumn id="50" xr3:uid="{1A17405A-DF33-436C-9D38-1F2A134DABD5}" name="DataCol43" dataDxfId="116"/>
    <tableColumn id="51" xr3:uid="{340A6575-C50B-4DB8-B7F6-1375D1E07CDF}" name="DataCol44" dataDxfId="115">
      <calculatedColumnFormula>VLOOKUP(Data[[#This Row],[Set Type]],Table_Intensity[],2,FALSE)</calculatedColumnFormula>
    </tableColumn>
    <tableColumn id="52" xr3:uid="{6B1C4546-47CE-436E-B284-8793AF4361B8}" name="DataCol45" dataDxfId="114">
      <calculatedColumnFormula>IF(AY6&lt;&gt;"","XXX","")</calculatedColumnFormula>
    </tableColumn>
    <tableColumn id="53" xr3:uid="{E220C13B-74CC-4EA9-84A5-9C44BEB2E3A4}" name="DataCol46" dataDxfId="113"/>
    <tableColumn id="54" xr3:uid="{0E82A6E1-DE4F-4032-9D84-77EE2E1B4D8C}" name="DataCol47" dataDxfId="112"/>
    <tableColumn id="55" xr3:uid="{3E1BC97B-A523-4996-8DCA-C3CD97386E2B}" name="DataCol48" dataDxfId="111"/>
    <tableColumn id="56" xr3:uid="{6D715A90-AD90-40C2-A4C3-8BEF27A2A4EF}" name="Output" dataDxfId="110">
      <calculatedColumnFormula>IF(Data[[#This Row],[DataCol1]]&lt;&gt;"",SUBSTITUTE(_xlfn.TEXTJOIN(",",TRUE,Data[[#This Row],[DataCol1]:[DataCol48]]),"XXX",""),"")</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594FB67-5A49-4830-B007-D4C16EDDF68A}" name="Header" displayName="Header" ref="A1:AW7" totalsRowShown="0" headerRowDxfId="109" dataDxfId="108" tableBorderDxfId="107">
  <autoFilter ref="A1:AW7" xr:uid="{1594FB67-5A49-4830-B007-D4C16EDDF68A}"/>
  <tableColumns count="49">
    <tableColumn id="1" xr3:uid="{CC3BA56E-246F-44E3-956A-F5F1A9515780}" name="Column1" dataDxfId="106"/>
    <tableColumn id="2" xr3:uid="{89D9D611-27B9-4A65-ACDC-615989B314BA}" name="Column2" dataDxfId="105">
      <calculatedColumnFormula>0</calculatedColumnFormula>
    </tableColumn>
    <tableColumn id="3" xr3:uid="{321D523E-CE13-4FF1-AB84-73AEDB90CA09}" name="Column3"/>
    <tableColumn id="4" xr3:uid="{AF3E55A9-6AFE-4306-8427-1B5621F3C99B}" name="Column4"/>
    <tableColumn id="5" xr3:uid="{9D8C58E7-D93B-4B8E-BA72-5DD8DFA61652}" name="Column5"/>
    <tableColumn id="6" xr3:uid="{43BDACDE-44F0-481B-AC9F-2A925E282241}" name="Column6" dataDxfId="104">
      <calculatedColumnFormula>IF(E2&lt;&gt;"","XXX","")</calculatedColumnFormula>
    </tableColumn>
    <tableColumn id="7" xr3:uid="{9436DFBE-FA3E-4054-AA60-DE4FC6A26375}" name="Column7"/>
    <tableColumn id="8" xr3:uid="{DF2F55E9-3B27-423E-9E89-A6BFEBCD05E9}" name="Column8"/>
    <tableColumn id="9" xr3:uid="{1E2D24B6-C067-4012-B5A1-05A563389B4C}" name="Column9" dataDxfId="103">
      <calculatedColumnFormula>IF(H2&lt;&gt;"","XXX","")</calculatedColumnFormula>
    </tableColumn>
    <tableColumn id="10" xr3:uid="{EC9BD55B-43E5-44CE-B09B-780A1BE1376B}" name="Column10"/>
    <tableColumn id="11" xr3:uid="{9988DA56-5523-4521-A176-5A85E6AA9114}" name="Column11"/>
    <tableColumn id="12" xr3:uid="{6283DB12-ECD0-49FA-87DD-3E223E40CA11}" name="Column12" dataDxfId="102">
      <calculatedColumnFormula>IF(K2&lt;&gt;"","XXX","")</calculatedColumnFormula>
    </tableColumn>
    <tableColumn id="13" xr3:uid="{C7B09B88-9BE5-4237-B065-3125E685C8A6}" name="Column13"/>
    <tableColumn id="14" xr3:uid="{4FA811A1-3566-404A-B27A-8EA1C6BE932E}" name="Column14"/>
    <tableColumn id="15" xr3:uid="{822595AB-2EB2-4936-A88E-859ED5CCCA2C}" name="Column15" dataDxfId="101">
      <calculatedColumnFormula>IF(N2&lt;&gt;"","XXX","")</calculatedColumnFormula>
    </tableColumn>
    <tableColumn id="16" xr3:uid="{3065926D-ED6E-4E37-B1CC-0B096E1060BD}" name="Column16"/>
    <tableColumn id="17" xr3:uid="{EFC8DD04-A076-4A90-A5C5-8B21A9DA9469}" name="Column17"/>
    <tableColumn id="18" xr3:uid="{67058E48-2C2F-47B9-A382-CC481C0945DF}" name="Column18" dataDxfId="100">
      <calculatedColumnFormula>IF(Q2&lt;&gt;"","XXX","")</calculatedColumnFormula>
    </tableColumn>
    <tableColumn id="19" xr3:uid="{E3055520-AF25-4EA6-ABCB-2D6B4F4AB4EA}" name="Column19"/>
    <tableColumn id="20" xr3:uid="{1FC2B725-AD19-4C0B-9BD3-4E9BEF78BBCD}" name="Column20"/>
    <tableColumn id="21" xr3:uid="{E880599F-6D28-407A-BCDC-E558D0291BD0}" name="Column21"/>
    <tableColumn id="22" xr3:uid="{0C85B0AC-64B4-4849-BE99-B849FBC4DA5C}" name="Column22" dataDxfId="99"/>
    <tableColumn id="23" xr3:uid="{FCAF2AA9-0438-4F9E-866B-9CCA81BCA583}" name="Column23" dataDxfId="98"/>
    <tableColumn id="24" xr3:uid="{5D0DF59B-292E-4644-BA33-662AB1A2382E}" name="Column24" dataDxfId="97"/>
    <tableColumn id="25" xr3:uid="{D3F9AB3F-67AC-48B1-BBF5-1A69EAC174C9}" name="Column25"/>
    <tableColumn id="26" xr3:uid="{B2E70DBB-E635-45C5-B2B7-7ADE6BB21029}" name="Column26"/>
    <tableColumn id="27" xr3:uid="{11906823-1870-44DE-A61B-FD151155622D}" name="Column27"/>
    <tableColumn id="28" xr3:uid="{4C83E5EA-5809-4DA6-B5DC-1FEE270B265E}" name="Column28"/>
    <tableColumn id="29" xr3:uid="{9F82E080-CF49-44AE-B5C5-3987E7BEE0A5}" name="Column29"/>
    <tableColumn id="30" xr3:uid="{CD70756C-CF60-4323-B611-1F3042DA0510}" name="Column30"/>
    <tableColumn id="31" xr3:uid="{EC5397D6-3813-4348-A8C6-3B8C5C84F563}" name="Column31"/>
    <tableColumn id="32" xr3:uid="{4AAA2E19-F568-4AFA-934D-6150D7288BAC}" name="Column32"/>
    <tableColumn id="33" xr3:uid="{66CB7635-F2C5-4F1D-83DF-242257BC6C7B}" name="Column33"/>
    <tableColumn id="34" xr3:uid="{C0709730-1BDC-4D4F-BF69-41D32CB209F5}" name="Column34"/>
    <tableColumn id="35" xr3:uid="{E3F7011E-5918-4231-9BBE-F0B1744AA28E}" name="Column35"/>
    <tableColumn id="36" xr3:uid="{CBC5BF25-976F-4C9A-8F3D-E822123BB8DC}" name="Column36"/>
    <tableColumn id="37" xr3:uid="{83F8B0E2-B082-4FA7-A0C2-FEEB32F68D3A}" name="Column37" dataDxfId="96"/>
    <tableColumn id="38" xr3:uid="{2866F6C0-267A-4E80-ABA7-4481202225E3}" name="Column38" dataDxfId="95"/>
    <tableColumn id="39" xr3:uid="{88DE5D59-96EC-4965-80BE-63858EA8C4C2}" name="Column39" dataDxfId="94"/>
    <tableColumn id="40" xr3:uid="{8161E616-F726-4A78-A315-4E8000394F58}" name="Column40" dataDxfId="93"/>
    <tableColumn id="41" xr3:uid="{64AE4BBF-E36D-4D82-A381-345FE6E459A8}" name="Column41" dataDxfId="92"/>
    <tableColumn id="42" xr3:uid="{A5F429D5-FD03-4DB8-B507-A936B8114833}" name="Column42" dataDxfId="91"/>
    <tableColumn id="43" xr3:uid="{7DA48708-DA65-4A4A-AA5D-A56861332CD2}" name="Column43" dataDxfId="90"/>
    <tableColumn id="44" xr3:uid="{F7E98A51-544E-4291-89C7-1DBDDEA5CEDA}" name="Column44" dataDxfId="89"/>
    <tableColumn id="45" xr3:uid="{DCDAEFA9-4BBA-4E72-81AF-E191457E6251}" name="Column45" dataDxfId="88"/>
    <tableColumn id="46" xr3:uid="{C8FEE0E5-3DC1-48BD-9DC8-2DC5A5018754}" name="Column46" dataDxfId="87"/>
    <tableColumn id="47" xr3:uid="{4592D925-4B04-4D1A-B746-C0F2CD816ABB}" name="Column47" dataDxfId="86"/>
    <tableColumn id="48" xr3:uid="{83C46097-BA01-4B39-BF09-3F9C236D4CC2}" name="Column48" dataDxfId="85"/>
    <tableColumn id="49" xr3:uid="{42BF8975-0DAB-44EC-A566-B4F9D04943DA}" name="Output" dataDxfId="84">
      <calculatedColumnFormula>IF(Header[[#This Row],[Column1]]&lt;&gt;"",SUBSTITUTE(_xlfn.TEXTJOIN(",",TRUE,Header[[#This Row],[Column1]:[Column48]]),"XXX",""),"")</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FD826F2-9F60-416F-8F92-706D2E2DA866}" name="Footer" displayName="Footer" ref="A13:BJ47" totalsRowShown="0" headerRowDxfId="83" dataDxfId="82">
  <autoFilter ref="A13:BJ47" xr:uid="{DFD826F2-9F60-416F-8F92-706D2E2DA866}"/>
  <tableColumns count="62">
    <tableColumn id="1" xr3:uid="{D234A7D2-42B7-4D4D-AB69-21B069D9192C}" name="Column1" dataDxfId="81"/>
    <tableColumn id="2" xr3:uid="{72446D6B-CE0D-4658-A207-DCEFD5BC2FA0}" name="Column2" dataDxfId="80"/>
    <tableColumn id="3" xr3:uid="{217A6B84-062C-4F0C-9973-86D9A3B7ACF3}" name="Column3" dataDxfId="79"/>
    <tableColumn id="4" xr3:uid="{6A34FF2D-FAE5-4837-88DF-3A98060ED145}" name="Column4" dataDxfId="78"/>
    <tableColumn id="5" xr3:uid="{A9306CA7-4F6B-4E7F-BC8E-098254F44E34}" name="Column5" dataDxfId="77"/>
    <tableColumn id="6" xr3:uid="{9C35FE6B-4CDB-4DF4-AFE4-C4CB97D3D264}" name="Column6" dataDxfId="76">
      <calculatedColumnFormula>IF(Footer[[#This Row],[Column5]]&lt;&gt;"","XXX","")</calculatedColumnFormula>
    </tableColumn>
    <tableColumn id="7" xr3:uid="{19738694-22BA-4AFE-81AD-E0E1248E52CF}" name="Column7" dataDxfId="75"/>
    <tableColumn id="8" xr3:uid="{A4067EAC-1358-42DD-8EAA-9E4982CEA881}" name="Column8" dataDxfId="74"/>
    <tableColumn id="9" xr3:uid="{3B5CA4DF-6DAE-400D-90ED-53D18ED9AB6F}" name="Column9" dataDxfId="73">
      <calculatedColumnFormula>IF(Footer[[#This Row],[Column8]]&lt;&gt;"","XXX","")</calculatedColumnFormula>
    </tableColumn>
    <tableColumn id="10" xr3:uid="{48753C40-5DFF-4134-AA3B-1AC7F9717942}" name="Column10" dataDxfId="72"/>
    <tableColumn id="11" xr3:uid="{B4B2B1AF-2123-4CC6-8AD8-D12D36CD5038}" name="Column11" dataDxfId="71"/>
    <tableColumn id="12" xr3:uid="{6E4AA7B2-1975-4433-8E12-66B43C78F1AD}" name="Column12" dataDxfId="70">
      <calculatedColumnFormula>IF(Footer[[#This Row],[Column11]]&lt;&gt;"","XXX","")</calculatedColumnFormula>
    </tableColumn>
    <tableColumn id="13" xr3:uid="{C29D3EF7-BABD-48D0-B96B-843ED7690786}" name="Column13" dataDxfId="69"/>
    <tableColumn id="14" xr3:uid="{70B88EA8-B0B8-44E1-8512-9AC0EBB1752E}" name="Column14" dataDxfId="68"/>
    <tableColumn id="15" xr3:uid="{966776F2-925E-4DD1-BC6B-066E754D89DC}" name="Column15" dataDxfId="67">
      <calculatedColumnFormula>IF(Footer[[#This Row],[Column8]]&lt;&gt;"","XXX","")</calculatedColumnFormula>
    </tableColumn>
    <tableColumn id="16" xr3:uid="{B4F2CD0B-2E83-42F5-8D8C-C51394376209}" name="Column16" dataDxfId="66">
      <calculatedColumnFormula>IF(Footer[[#This Row],[Column9]]&lt;&gt;"","XXX","")</calculatedColumnFormula>
    </tableColumn>
    <tableColumn id="17" xr3:uid="{B0B52514-ECD2-4C8A-8F8A-AF531B789546}" name="Column17" dataDxfId="65">
      <calculatedColumnFormula>IF(Footer[[#This Row],[Column10]]&lt;&gt;"","XXX","")</calculatedColumnFormula>
    </tableColumn>
    <tableColumn id="18" xr3:uid="{57F004FB-B797-4239-990E-847FF751375C}" name="Column18" dataDxfId="64">
      <calculatedColumnFormula>IF(Footer[[#This Row],[Column11]]&lt;&gt;"","XXX","")</calculatedColumnFormula>
    </tableColumn>
    <tableColumn id="19" xr3:uid="{FCF2D4F1-81F2-4BD8-9C5C-4803DA0C325E}" name="Column19" dataDxfId="63">
      <calculatedColumnFormula>IF(Footer[[#This Row],[Column12]]&lt;&gt;"","XXX","")</calculatedColumnFormula>
    </tableColumn>
    <tableColumn id="20" xr3:uid="{54E9D1D5-9A0E-4DA9-BD24-EB94842F837E}" name="Column20" dataDxfId="62">
      <calculatedColumnFormula>IF(Footer[[#This Row],[Column13]]&lt;&gt;"","XXX","")</calculatedColumnFormula>
    </tableColumn>
    <tableColumn id="21" xr3:uid="{F145BA39-0CBF-4211-BD61-2FCED50808B2}" name="Column21" dataDxfId="61">
      <calculatedColumnFormula>IF(Footer[[#This Row],[Column14]]&lt;&gt;"","XXX","")</calculatedColumnFormula>
    </tableColumn>
    <tableColumn id="22" xr3:uid="{57220CB2-A820-43B3-B671-2CD8D1B13F97}" name="Column22" dataDxfId="60">
      <calculatedColumnFormula>IF(Footer[[#This Row],[Column15]]&lt;&gt;"","XXX","")</calculatedColumnFormula>
    </tableColumn>
    <tableColumn id="23" xr3:uid="{0DA1A37A-A0E8-4C0F-9F69-5CF95DBA2046}" name="Column23" dataDxfId="59">
      <calculatedColumnFormula>IF(Footer[[#This Row],[Column16]]&lt;&gt;"","XXX","")</calculatedColumnFormula>
    </tableColumn>
    <tableColumn id="24" xr3:uid="{C8005CC7-AF8A-4813-9DFE-9F2FC8781D29}" name="Column24" dataDxfId="58">
      <calculatedColumnFormula>IF(Footer[[#This Row],[Column17]]&lt;&gt;"","XXX","")</calculatedColumnFormula>
    </tableColumn>
    <tableColumn id="25" xr3:uid="{408BD323-B4F9-4D0D-AB15-626475C9CC2A}" name="Column25" dataDxfId="57">
      <calculatedColumnFormula>IF(Footer[[#This Row],[Column18]]&lt;&gt;"","XXX","")</calculatedColumnFormula>
    </tableColumn>
    <tableColumn id="26" xr3:uid="{E8A8BF4E-D4CC-466F-9401-2960485E02F2}" name="Column26" dataDxfId="56">
      <calculatedColumnFormula>IF(Footer[[#This Row],[Column19]]&lt;&gt;"","XXX","")</calculatedColumnFormula>
    </tableColumn>
    <tableColumn id="27" xr3:uid="{4B4C5FEB-A106-4A85-8F7D-B2CEA2F2F9AF}" name="Column27" dataDxfId="55">
      <calculatedColumnFormula>IF(Footer[[#This Row],[Column20]]&lt;&gt;"","XXX","")</calculatedColumnFormula>
    </tableColumn>
    <tableColumn id="28" xr3:uid="{578761D6-AEEF-4C5F-A55C-E0BCCF6D2048}" name="Column28" dataDxfId="54">
      <calculatedColumnFormula>IF(Footer[[#This Row],[Column21]]&lt;&gt;"","XXX","")</calculatedColumnFormula>
    </tableColumn>
    <tableColumn id="29" xr3:uid="{B59C5C6F-0185-4881-9958-05CAFE09C8F6}" name="Column29" dataDxfId="53">
      <calculatedColumnFormula>IF(Footer[[#This Row],[Column22]]&lt;&gt;"","XXX","")</calculatedColumnFormula>
    </tableColumn>
    <tableColumn id="30" xr3:uid="{712CDF8E-441C-4EBD-9D96-8E7C54A7A092}" name="Column30" dataDxfId="52">
      <calculatedColumnFormula>IF(Footer[[#This Row],[Column23]]&lt;&gt;"","XXX","")</calculatedColumnFormula>
    </tableColumn>
    <tableColumn id="31" xr3:uid="{C8712942-98A2-4535-B39C-0900EE7BF9E3}" name="Column31" dataDxfId="51">
      <calculatedColumnFormula>IF(Footer[[#This Row],[Column24]]&lt;&gt;"","XXX","")</calculatedColumnFormula>
    </tableColumn>
    <tableColumn id="32" xr3:uid="{B51CB40E-4E51-436E-8F08-B6BED42BB6F5}" name="Column32" dataDxfId="50">
      <calculatedColumnFormula>IF(Footer[[#This Row],[Column25]]&lt;&gt;"","XXX","")</calculatedColumnFormula>
    </tableColumn>
    <tableColumn id="33" xr3:uid="{7F2FA03D-4498-4789-A8A5-4188D9C26CC6}" name="Column33" dataDxfId="49">
      <calculatedColumnFormula>IF(Footer[[#This Row],[Column26]]&lt;&gt;"","XXX","")</calculatedColumnFormula>
    </tableColumn>
    <tableColumn id="34" xr3:uid="{43BDAE9C-E1EE-41B5-8AD5-C3E03A2FC422}" name="Column34" dataDxfId="48">
      <calculatedColumnFormula>IF(Footer[[#This Row],[Column27]]&lt;&gt;"","XXX","")</calculatedColumnFormula>
    </tableColumn>
    <tableColumn id="35" xr3:uid="{9BDAC474-ABF6-4A33-B5F3-A9591C82E5F1}" name="Column35" dataDxfId="47">
      <calculatedColumnFormula>IF(Footer[[#This Row],[Column28]]&lt;&gt;"","XXX","")</calculatedColumnFormula>
    </tableColumn>
    <tableColumn id="36" xr3:uid="{1112BC09-A837-4CC8-B3AA-A2385680DF88}" name="Column36" dataDxfId="46">
      <calculatedColumnFormula>IF(Footer[[#This Row],[Column29]]&lt;&gt;"","XXX","")</calculatedColumnFormula>
    </tableColumn>
    <tableColumn id="37" xr3:uid="{120015D4-77F3-4145-853B-45E007EBA01E}" name="Column37" dataDxfId="45">
      <calculatedColumnFormula>IF(Footer[[#This Row],[Column30]]&lt;&gt;"","XXX","")</calculatedColumnFormula>
    </tableColumn>
    <tableColumn id="38" xr3:uid="{9C137904-A1E2-48B1-90BA-6672205E1F45}" name="Column38" dataDxfId="44">
      <calculatedColumnFormula>IF(Footer[[#This Row],[Column31]]&lt;&gt;"","XXX","")</calculatedColumnFormula>
    </tableColumn>
    <tableColumn id="39" xr3:uid="{5AFA8389-9868-420F-9E85-CB912915077D}" name="Column39" dataDxfId="43">
      <calculatedColumnFormula>IF(Footer[[#This Row],[Column32]]&lt;&gt;"","XXX","")</calculatedColumnFormula>
    </tableColumn>
    <tableColumn id="40" xr3:uid="{78C20977-0AD7-477E-A03D-6C44CCC64DC4}" name="Column40" dataDxfId="42">
      <calculatedColumnFormula>IF(Footer[[#This Row],[Column33]]&lt;&gt;"","XXX","")</calculatedColumnFormula>
    </tableColumn>
    <tableColumn id="41" xr3:uid="{118B6708-3963-4B58-957F-67F3B78179CB}" name="Column41" dataDxfId="41">
      <calculatedColumnFormula>IF(Footer[[#This Row],[Column34]]&lt;&gt;"","XXX","")</calculatedColumnFormula>
    </tableColumn>
    <tableColumn id="42" xr3:uid="{2F74DF7A-6FBC-4E60-B881-7829DF652A6F}" name="Column42" dataDxfId="40">
      <calculatedColumnFormula>IF(Footer[[#This Row],[Column35]]&lt;&gt;"","XXX","")</calculatedColumnFormula>
    </tableColumn>
    <tableColumn id="43" xr3:uid="{C150946D-C5FA-43A1-A319-71DA0F3CF319}" name="Column43" dataDxfId="39">
      <calculatedColumnFormula>IF(Footer[[#This Row],[Column36]]&lt;&gt;"","XXX","")</calculatedColumnFormula>
    </tableColumn>
    <tableColumn id="44" xr3:uid="{AF962C96-4DBD-46FA-B895-6F241D660844}" name="Column44" dataDxfId="38">
      <calculatedColumnFormula>IF(Footer[[#This Row],[Column37]]&lt;&gt;"","XXX","")</calculatedColumnFormula>
    </tableColumn>
    <tableColumn id="45" xr3:uid="{A93343E9-3D20-44BE-A705-433C9E431561}" name="Column45" dataDxfId="37">
      <calculatedColumnFormula>IF(Footer[[#This Row],[Column38]]&lt;&gt;"","XXX","")</calculatedColumnFormula>
    </tableColumn>
    <tableColumn id="46" xr3:uid="{DD28C3D2-494D-421D-97D7-E7052BC46589}" name="Column46" dataDxfId="36">
      <calculatedColumnFormula>IF(Footer[[#This Row],[Column39]]&lt;&gt;"","XXX","")</calculatedColumnFormula>
    </tableColumn>
    <tableColumn id="47" xr3:uid="{2BE42C4E-95A3-4B65-BF65-0F6D68347C62}" name="Column47" dataDxfId="35">
      <calculatedColumnFormula>IF(Footer[[#This Row],[Column40]]&lt;&gt;"","XXX","")</calculatedColumnFormula>
    </tableColumn>
    <tableColumn id="48" xr3:uid="{70BCC30B-CEC9-4FEE-BFB5-0C8647C5D3F6}" name="Column48" dataDxfId="34">
      <calculatedColumnFormula>IF(Footer[[#This Row],[Column41]]&lt;&gt;"","XXX","")</calculatedColumnFormula>
    </tableColumn>
    <tableColumn id="49" xr3:uid="{EF59B9B4-F377-42BA-BFCD-5BB36DBEE2CD}" name="Column49" dataDxfId="33">
      <calculatedColumnFormula>IF(Footer[[#This Row],[Column42]]&lt;&gt;"","XXX","")</calculatedColumnFormula>
    </tableColumn>
    <tableColumn id="50" xr3:uid="{4FC22892-4F3F-4E51-8E3E-A7640F67AAB6}" name="Column50" dataDxfId="32">
      <calculatedColumnFormula>IF(Footer[[#This Row],[Column43]]&lt;&gt;"","XXX","")</calculatedColumnFormula>
    </tableColumn>
    <tableColumn id="51" xr3:uid="{8FC45434-EE66-491F-8C47-3366232861DB}" name="Column51" dataDxfId="31">
      <calculatedColumnFormula>IF(Footer[[#This Row],[Column44]]&lt;&gt;"","XXX","")</calculatedColumnFormula>
    </tableColumn>
    <tableColumn id="52" xr3:uid="{D932761E-B1B7-4AF3-BE1A-3873551940CF}" name="Column52" dataDxfId="30">
      <calculatedColumnFormula>IF(Footer[[#This Row],[Column45]]&lt;&gt;"","XXX","")</calculatedColumnFormula>
    </tableColumn>
    <tableColumn id="53" xr3:uid="{96DC5ED1-D49C-410E-9B97-985577BDCDA7}" name="Column53" dataDxfId="29">
      <calculatedColumnFormula>IF(Footer[[#This Row],[Column46]]&lt;&gt;"","XXX","")</calculatedColumnFormula>
    </tableColumn>
    <tableColumn id="54" xr3:uid="{2AE4765F-FA84-4A33-9BFC-D36D298F86D6}" name="Column54" dataDxfId="28">
      <calculatedColumnFormula>IF(Footer[[#This Row],[Column47]]&lt;&gt;"","XXX","")</calculatedColumnFormula>
    </tableColumn>
    <tableColumn id="55" xr3:uid="{80504FF1-547D-4330-A8DF-09294871442D}" name="Column55" dataDxfId="27">
      <calculatedColumnFormula>IF(Footer[[#This Row],[Column48]]&lt;&gt;"","XXX","")</calculatedColumnFormula>
    </tableColumn>
    <tableColumn id="56" xr3:uid="{96D4C7CB-ED27-49A3-82C1-69225798F1D0}" name="Column56" dataDxfId="26">
      <calculatedColumnFormula>IF(Footer[[#This Row],[Column49]]&lt;&gt;"","XXX","")</calculatedColumnFormula>
    </tableColumn>
    <tableColumn id="57" xr3:uid="{F9D39B6A-63FD-4887-98D1-BE75D86D98AD}" name="Column57" dataDxfId="25">
      <calculatedColumnFormula>IF(Footer[[#This Row],[Column50]]&lt;&gt;"","XXX","")</calculatedColumnFormula>
    </tableColumn>
    <tableColumn id="58" xr3:uid="{1F74F0EF-D340-4D11-9BB9-BDA70BEF9A48}" name="Column58" dataDxfId="24">
      <calculatedColumnFormula>IF(Footer[[#This Row],[Column51]]&lt;&gt;"","XXX","")</calculatedColumnFormula>
    </tableColumn>
    <tableColumn id="59" xr3:uid="{AFB543E5-9A7E-4B19-B839-7F236F02AFBE}" name="Column59" dataDxfId="23">
      <calculatedColumnFormula>IF(Footer[[#This Row],[Column52]]&lt;&gt;"","XXX","")</calculatedColumnFormula>
    </tableColumn>
    <tableColumn id="60" xr3:uid="{79CEBE27-B33E-483B-9D97-05FE445D44A3}" name="Column60" dataDxfId="22">
      <calculatedColumnFormula>IF(Footer[[#This Row],[Column53]]&lt;&gt;"","XXX","")</calculatedColumnFormula>
    </tableColumn>
    <tableColumn id="61" xr3:uid="{DCD78FDC-D01E-4567-8CDF-3EDA96E7937C}" name="Column61" dataDxfId="21">
      <calculatedColumnFormula>IF(Footer[[#This Row],[Column54]]&lt;&gt;"","XXX","")</calculatedColumnFormula>
    </tableColumn>
    <tableColumn id="62" xr3:uid="{6383B48A-C8FB-4EB7-ADE5-D39CA6B8B6FA}" name="Output" dataDxfId="20">
      <calculatedColumnFormula>IF(Footer[[#This Row],[Column1]]&lt;&gt;"",SUBSTITUTE(_xlfn.TEXTJOIN(",",TRUE,Footer[[#This Row],[Column1]:[Column61]]),"XXX",""),"")</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_Duration_Type" displayName="Table_Duration_Type" ref="A1:D8" totalsRowShown="0" headerRowDxfId="19" dataDxfId="18">
  <autoFilter ref="A1:D8" xr:uid="{00000000-0009-0000-0100-000002000000}"/>
  <tableColumns count="4">
    <tableColumn id="1" xr3:uid="{00000000-0010-0000-0100-000001000000}" name="Duration Type Name" dataDxfId="17"/>
    <tableColumn id="2" xr3:uid="{00000000-0010-0000-0100-000002000000}" name="Duration Type Value" dataDxfId="16"/>
    <tableColumn id="3" xr3:uid="{00000000-0010-0000-0100-000003000000}" name="Duration Value" dataDxfId="15"/>
    <tableColumn id="4" xr3:uid="{00000000-0010-0000-0100-000004000000}" name="Unit" dataDxfId="14"/>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_Intensity" displayName="Table_Intensity" ref="F1:G8" totalsRowShown="0" headerRowDxfId="13" dataDxfId="12">
  <autoFilter ref="F1:G8" xr:uid="{00000000-0009-0000-0100-000003000000}"/>
  <tableColumns count="2">
    <tableColumn id="1" xr3:uid="{00000000-0010-0000-0200-000001000000}" name="Intensity Name" dataDxfId="11"/>
    <tableColumn id="2" xr3:uid="{00000000-0010-0000-0200-000002000000}" name="Intensity Value" dataDxfId="10"/>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_Target_Type" displayName="Table_Target_Type" ref="I1:K8" totalsRowShown="0">
  <autoFilter ref="I1:K8" xr:uid="{00000000-0009-0000-0100-000004000000}"/>
  <tableColumns count="3">
    <tableColumn id="1" xr3:uid="{00000000-0010-0000-0300-000001000000}" name="Target Type Name" dataDxfId="9"/>
    <tableColumn id="2" xr3:uid="{00000000-0010-0000-0300-000002000000}" name="Target Type Value"/>
    <tableColumn id="3" xr3:uid="{00000000-0010-0000-0300-000003000000}" name="Target Value Name" dataDxfId="8"/>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_Exercises" displayName="Table_Exercises" ref="M1:O18" totalsRowShown="0" headerRowDxfId="7" dataDxfId="6">
  <autoFilter ref="M1:O18" xr:uid="{00000000-0009-0000-0100-000005000000}"/>
  <sortState xmlns:xlrd2="http://schemas.microsoft.com/office/spreadsheetml/2017/richdata2" ref="M2:O18">
    <sortCondition ref="M2:M18"/>
  </sortState>
  <tableColumns count="3">
    <tableColumn id="1" xr3:uid="{00000000-0010-0000-0400-000001000000}" name="Exercise Name" dataDxfId="5"/>
    <tableColumn id="2" xr3:uid="{00000000-0010-0000-0400-000002000000}" name="exercise_category" dataDxfId="4"/>
    <tableColumn id="3" xr3:uid="{00000000-0010-0000-0400-000003000000}" name="exercise_name" dataDxfId="3"/>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1.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table" Target="../tables/table5.xml"/><Relationship Id="rId1" Type="http://schemas.openxmlformats.org/officeDocument/2006/relationships/table" Target="../tables/table4.xml"/><Relationship Id="rId4" Type="http://schemas.openxmlformats.org/officeDocument/2006/relationships/table" Target="../tables/table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D76"/>
  <sheetViews>
    <sheetView tabSelected="1" zoomScale="90" zoomScaleNormal="90" workbookViewId="0">
      <selection activeCell="C13" sqref="C13"/>
    </sheetView>
  </sheetViews>
  <sheetFormatPr defaultRowHeight="15" x14ac:dyDescent="0.25"/>
  <cols>
    <col min="1" max="1" width="18.7109375" style="27" bestFit="1" customWidth="1"/>
    <col min="2" max="2" width="23.7109375" style="27" bestFit="1" customWidth="1"/>
    <col min="3" max="3" width="24.85546875" style="27" bestFit="1" customWidth="1"/>
    <col min="4" max="4" width="18.140625" style="27" bestFit="1" customWidth="1"/>
    <col min="5" max="5" width="19" style="27" bestFit="1" customWidth="1"/>
    <col min="6" max="6" width="12.140625" style="27" bestFit="1" customWidth="1"/>
    <col min="7" max="7" width="90.85546875" style="28" customWidth="1"/>
    <col min="8" max="13" width="13.42578125" style="27" hidden="1" customWidth="1"/>
    <col min="14" max="14" width="13.85546875" style="27" hidden="1" customWidth="1"/>
    <col min="15" max="16" width="13.42578125" style="27" hidden="1" customWidth="1"/>
    <col min="17" max="26" width="14.42578125" style="27" hidden="1" customWidth="1"/>
    <col min="27" max="27" width="21.85546875" style="27" hidden="1" customWidth="1"/>
    <col min="28" max="28" width="14.42578125" style="27" hidden="1" customWidth="1"/>
    <col min="29" max="29" width="14.85546875" style="27" hidden="1" customWidth="1"/>
    <col min="30" max="31" width="14.42578125" style="27" hidden="1" customWidth="1"/>
    <col min="32" max="32" width="17.28515625" style="27" hidden="1" customWidth="1"/>
    <col min="33" max="34" width="14.42578125" style="27" hidden="1" customWidth="1"/>
    <col min="35" max="35" width="14.5703125" style="27" hidden="1" customWidth="1"/>
    <col min="36" max="37" width="14.42578125" style="27" hidden="1" customWidth="1"/>
    <col min="38" max="38" width="15.7109375" style="27" hidden="1" customWidth="1"/>
    <col min="39" max="40" width="14.42578125" style="27" hidden="1" customWidth="1"/>
    <col min="41" max="41" width="19.28515625" style="27" hidden="1" customWidth="1"/>
    <col min="42" max="52" width="14.42578125" style="27" hidden="1" customWidth="1"/>
    <col min="53" max="55" width="14.42578125" style="29" hidden="1" customWidth="1"/>
    <col min="56" max="56" width="13" style="30" hidden="1" customWidth="1"/>
    <col min="57" max="57" width="9.140625" style="31" customWidth="1"/>
    <col min="58" max="16384" width="9.140625" style="31"/>
  </cols>
  <sheetData>
    <row r="1" spans="1:56" ht="15.75" thickBot="1" x14ac:dyDescent="0.3">
      <c r="A1" s="25" t="s">
        <v>50</v>
      </c>
      <c r="B1" s="26" t="s">
        <v>260</v>
      </c>
      <c r="H1" s="32" t="s">
        <v>243</v>
      </c>
      <c r="I1" s="41" t="str">
        <f>_xlfn.CONCAT(SUBSTITUTE(B1," ","_"),"_workout")</f>
        <v>FullBody_-_Beginner_-_A_workout</v>
      </c>
    </row>
    <row r="2" spans="1:56" ht="15.75" thickBot="1" x14ac:dyDescent="0.3">
      <c r="A2" s="33" t="s">
        <v>52</v>
      </c>
      <c r="B2" s="40">
        <f ca="1">NOW()</f>
        <v>45068.759735763888</v>
      </c>
    </row>
    <row r="3" spans="1:56" x14ac:dyDescent="0.25">
      <c r="A3" s="31"/>
      <c r="B3" s="31"/>
    </row>
    <row r="5" spans="1:56" x14ac:dyDescent="0.25">
      <c r="A5" s="27" t="s">
        <v>56</v>
      </c>
      <c r="B5" s="27" t="s">
        <v>59</v>
      </c>
      <c r="C5" s="27" t="s">
        <v>51</v>
      </c>
      <c r="D5" s="27" t="s">
        <v>57</v>
      </c>
      <c r="E5" s="27" t="s">
        <v>60</v>
      </c>
      <c r="F5" s="27" t="s">
        <v>120</v>
      </c>
      <c r="G5" s="28" t="s">
        <v>58</v>
      </c>
      <c r="H5" s="34" t="s">
        <v>180</v>
      </c>
      <c r="I5" s="34" t="s">
        <v>181</v>
      </c>
      <c r="J5" s="34" t="s">
        <v>182</v>
      </c>
      <c r="K5" s="34" t="s">
        <v>183</v>
      </c>
      <c r="L5" s="34" t="s">
        <v>184</v>
      </c>
      <c r="M5" s="34" t="s">
        <v>185</v>
      </c>
      <c r="N5" s="34" t="s">
        <v>186</v>
      </c>
      <c r="O5" s="34" t="s">
        <v>187</v>
      </c>
      <c r="P5" s="34" t="s">
        <v>188</v>
      </c>
      <c r="Q5" s="34" t="s">
        <v>189</v>
      </c>
      <c r="R5" s="34" t="s">
        <v>190</v>
      </c>
      <c r="S5" s="34" t="s">
        <v>191</v>
      </c>
      <c r="T5" s="34" t="s">
        <v>192</v>
      </c>
      <c r="U5" s="34" t="s">
        <v>193</v>
      </c>
      <c r="V5" s="34" t="s">
        <v>194</v>
      </c>
      <c r="W5" s="34" t="s">
        <v>195</v>
      </c>
      <c r="X5" s="34" t="s">
        <v>196</v>
      </c>
      <c r="Y5" s="34" t="s">
        <v>197</v>
      </c>
      <c r="Z5" s="34" t="s">
        <v>198</v>
      </c>
      <c r="AA5" s="34" t="s">
        <v>199</v>
      </c>
      <c r="AB5" s="34" t="s">
        <v>200</v>
      </c>
      <c r="AC5" s="34" t="s">
        <v>201</v>
      </c>
      <c r="AD5" s="34" t="s">
        <v>202</v>
      </c>
      <c r="AE5" s="34" t="s">
        <v>203</v>
      </c>
      <c r="AF5" s="34" t="s">
        <v>204</v>
      </c>
      <c r="AG5" s="34" t="s">
        <v>205</v>
      </c>
      <c r="AH5" s="34" t="s">
        <v>206</v>
      </c>
      <c r="AI5" s="34" t="s">
        <v>207</v>
      </c>
      <c r="AJ5" s="34" t="s">
        <v>208</v>
      </c>
      <c r="AK5" s="34" t="s">
        <v>209</v>
      </c>
      <c r="AL5" s="34" t="s">
        <v>210</v>
      </c>
      <c r="AM5" s="34" t="s">
        <v>211</v>
      </c>
      <c r="AN5" s="34" t="s">
        <v>212</v>
      </c>
      <c r="AO5" s="34" t="s">
        <v>213</v>
      </c>
      <c r="AP5" s="34" t="s">
        <v>214</v>
      </c>
      <c r="AQ5" s="34" t="s">
        <v>215</v>
      </c>
      <c r="AR5" s="34" t="s">
        <v>216</v>
      </c>
      <c r="AS5" s="34" t="s">
        <v>217</v>
      </c>
      <c r="AT5" s="34" t="s">
        <v>218</v>
      </c>
      <c r="AU5" s="34" t="s">
        <v>219</v>
      </c>
      <c r="AV5" s="34" t="s">
        <v>220</v>
      </c>
      <c r="AW5" s="34" t="s">
        <v>221</v>
      </c>
      <c r="AX5" s="34" t="s">
        <v>222</v>
      </c>
      <c r="AY5" s="34" t="s">
        <v>223</v>
      </c>
      <c r="AZ5" s="34" t="s">
        <v>224</v>
      </c>
      <c r="BA5" s="34" t="s">
        <v>225</v>
      </c>
      <c r="BB5" s="34" t="s">
        <v>226</v>
      </c>
      <c r="BC5" s="34" t="s">
        <v>227</v>
      </c>
      <c r="BD5" s="28" t="s">
        <v>242</v>
      </c>
    </row>
    <row r="6" spans="1:56" x14ac:dyDescent="0.25">
      <c r="A6" s="27">
        <v>1</v>
      </c>
      <c r="B6" s="42" t="s">
        <v>105</v>
      </c>
      <c r="C6" s="35" t="s">
        <v>105</v>
      </c>
      <c r="D6" s="27" t="s">
        <v>79</v>
      </c>
      <c r="G6" s="28" t="s">
        <v>106</v>
      </c>
      <c r="H6" s="27" t="str">
        <f t="shared" ref="H6:H70" si="0">"Data"</f>
        <v>Data</v>
      </c>
      <c r="I6" s="27">
        <f>0</f>
        <v>0</v>
      </c>
      <c r="J6" s="27" t="str">
        <f t="shared" ref="J6:J70" si="1">"workout_step"</f>
        <v>workout_step</v>
      </c>
      <c r="N6" s="36" t="str">
        <f>IF(VLOOKUP(Data[[#This Row],[Duration Type]],Table_Duration_Type[],3,FALSE)="/","",VLOOKUP(Data[[#This Row],[Duration Type]],Table_Duration_Type[],3,FALSE))</f>
        <v/>
      </c>
      <c r="O6" s="36" t="str">
        <f>IF(N6&lt;&gt;"",IF(N6='Reference Lists'!$C$2,SUBSTITUTE(TEXT(Data[[#This Row],[Duration Value]],"0,0"),",","."),Data[[#This Row],[Duration Value]]),"")</f>
        <v/>
      </c>
      <c r="P6" s="36" t="str">
        <f t="shared" ref="P6" si="2">IF(O6&lt;&gt;"","XXX","")</f>
        <v/>
      </c>
      <c r="Q6" s="36" t="s">
        <v>42</v>
      </c>
      <c r="R6" s="36">
        <f>0</f>
        <v>0</v>
      </c>
      <c r="S6" s="36" t="str">
        <f t="shared" ref="S6" si="3">IF(R6&lt;&gt;"","XXX","")</f>
        <v>XXX</v>
      </c>
      <c r="Z6" s="36" t="str">
        <f t="shared" ref="Z6" si="4">IF(AA6&lt;&gt;"","notes","")</f>
        <v>notes</v>
      </c>
      <c r="AA6" s="36" t="str">
        <f>IF(Data[[#This Row],[Notes]]="","",_xlfn.CONCAT("""",SUBSTITUTE(Data[[#This Row],[Notes]],CHAR(10),"%breakline%"),""""))</f>
        <v>"Mobilisations articulaires"</v>
      </c>
      <c r="AB6" s="36" t="str">
        <f t="shared" ref="AB6" si="5">IF(AA6&lt;&gt;"","XXX","")</f>
        <v>XXX</v>
      </c>
      <c r="AC6" s="27" t="s">
        <v>37</v>
      </c>
      <c r="AD6" s="36">
        <f>Data[[#This Row],[Step n°]]-1</f>
        <v>0</v>
      </c>
      <c r="AE6" s="36" t="str">
        <f t="shared" ref="AE6" si="6">IF(AD6&lt;&gt;"","XXX","")</f>
        <v>XXX</v>
      </c>
      <c r="AF6" s="36" t="str">
        <f t="shared" ref="AF6" si="7">IF(AG6&lt;&gt;"","exercise_category","")</f>
        <v>exercise_category</v>
      </c>
      <c r="AG6" s="36">
        <f>IF(_xlfn.IFNA(VLOOKUP(Data[[#This Row],[Exercise]],Table_Exercises[],2,FALSE),"")="","",_xlfn.IFNA(VLOOKUP(Data[[#This Row],[Exercise]],Table_Exercises[],2,FALSE),""))</f>
        <v>31</v>
      </c>
      <c r="AH6" s="36" t="str">
        <f t="shared" ref="AH6" si="8">IF(AG6&lt;&gt;"","XXX","")</f>
        <v>XXX</v>
      </c>
      <c r="AI6" s="37" t="str">
        <f t="shared" ref="AI6" si="9">IF(AJ6&lt;&gt;"","exercise_name","")</f>
        <v/>
      </c>
      <c r="AJ6" s="36" t="str">
        <f>_xlfn.IFNA(IF(VLOOKUP(Data[[#This Row],[Exercise]],Table_Exercises[],3,FALSE)="/","",VLOOKUP(Data[[#This Row],[Exercise]],Table_Exercises[],3,FALSE)),"")</f>
        <v/>
      </c>
      <c r="AK6" s="36" t="str">
        <f t="shared" ref="AK6" si="10">IF(AJ6&lt;&gt;"","XXX","")</f>
        <v/>
      </c>
      <c r="AL6" s="27" t="str">
        <f>IF(OR(Data[[#This Row],[Weight]]="",Data[[#This Row],[Weight]]=0),"","exercise_weight")</f>
        <v/>
      </c>
      <c r="AM6" s="38" t="str">
        <f>IF(OR(Data[[#This Row],[Weight]]="",Data[[#This Row],[Weight]]=0),"",SUBSTITUTE(TEXT(Data[[#This Row],[Weight]],"0,0"),",","."))</f>
        <v/>
      </c>
      <c r="AN6" s="36" t="str">
        <f t="shared" ref="AN6" si="11">IF(AM6&lt;&gt;"","XXX","")</f>
        <v/>
      </c>
      <c r="AO6" s="27" t="str">
        <f t="shared" ref="AO6" si="12">IF(AL6&lt;&gt;"","weight_display_unit","")</f>
        <v/>
      </c>
      <c r="AP6" s="38" t="str">
        <f t="shared" ref="AP6" si="13">IF(AL6&lt;&gt;"",1,"")</f>
        <v/>
      </c>
      <c r="AQ6" s="36" t="str">
        <f t="shared" ref="AQ6" si="14">IF(AP6&lt;&gt;"","XXX","")</f>
        <v/>
      </c>
      <c r="AR6" s="27" t="s">
        <v>39</v>
      </c>
      <c r="AS6" s="36">
        <f>VLOOKUP(Data[[#This Row],[Duration Type]],Table_Duration_Type[],2,FALSE)</f>
        <v>5</v>
      </c>
      <c r="AT6" s="36" t="str">
        <f t="shared" ref="AT6" si="15">IF(AS6&lt;&gt;"","XXX","")</f>
        <v>XXX</v>
      </c>
      <c r="AU6" s="27" t="s">
        <v>41</v>
      </c>
      <c r="AV6" s="36">
        <f>2</f>
        <v>2</v>
      </c>
      <c r="AW6" s="36" t="str">
        <f t="shared" ref="AW6" si="16">IF(AV6&lt;&gt;"","XXX","")</f>
        <v>XXX</v>
      </c>
      <c r="AX6" s="27" t="s">
        <v>43</v>
      </c>
      <c r="AY6" s="36">
        <f>VLOOKUP(Data[[#This Row],[Set Type]],Table_Intensity[],2,FALSE)</f>
        <v>2</v>
      </c>
      <c r="AZ6" s="36" t="str">
        <f t="shared" ref="AZ6" si="17">IF(AY6&lt;&gt;"","XXX","")</f>
        <v>XXX</v>
      </c>
      <c r="BA6" s="27" t="s">
        <v>152</v>
      </c>
      <c r="BB6" s="27" t="s">
        <v>152</v>
      </c>
      <c r="BC6" s="27" t="s">
        <v>152</v>
      </c>
      <c r="BD6" s="28" t="str">
        <f>IF(Data[[#This Row],[DataCol1]]&lt;&gt;"",SUBSTITUTE(_xlfn.TEXTJOIN(",",TRUE,Data[[#This Row],[DataCol1]:[DataCol48]]),"XXX",""),"")</f>
        <v>Data,0,workout_step,target_value,0,,notes,"Mobilisations articulaires",,message_index,0,,exercise_category,31,,duration_type,5,,target_type,2,,intensity,2,,,,</v>
      </c>
    </row>
    <row r="7" spans="1:56" ht="45" x14ac:dyDescent="0.25">
      <c r="A7" s="27">
        <v>2</v>
      </c>
      <c r="B7" s="42" t="s">
        <v>105</v>
      </c>
      <c r="C7" s="35" t="s">
        <v>245</v>
      </c>
      <c r="D7" s="27" t="s">
        <v>62</v>
      </c>
      <c r="E7" s="27">
        <v>10</v>
      </c>
      <c r="F7" s="27">
        <v>4</v>
      </c>
      <c r="G7" s="39" t="s">
        <v>109</v>
      </c>
      <c r="H7" s="27" t="str">
        <f t="shared" si="0"/>
        <v>Data</v>
      </c>
      <c r="I7" s="27">
        <f>0</f>
        <v>0</v>
      </c>
      <c r="J7" s="27" t="str">
        <f t="shared" si="1"/>
        <v>workout_step</v>
      </c>
      <c r="N7" s="36" t="str">
        <f>IF(VLOOKUP(Data[[#This Row],[Duration Type]],Table_Duration_Type[],3,FALSE)="/","",VLOOKUP(Data[[#This Row],[Duration Type]],Table_Duration_Type[],3,FALSE))</f>
        <v>duration_reps</v>
      </c>
      <c r="O7" s="36">
        <f>IF(N7&lt;&gt;"",IF(N7='Reference Lists'!$C$2,SUBSTITUTE(TEXT(Data[[#This Row],[Duration Value]],"0,0"),",","."),Data[[#This Row],[Duration Value]]),"")</f>
        <v>10</v>
      </c>
      <c r="P7" s="36" t="str">
        <f t="shared" ref="P7:P8" si="18">IF(O7&lt;&gt;"","XXX","")</f>
        <v>XXX</v>
      </c>
      <c r="Q7" s="36" t="s">
        <v>42</v>
      </c>
      <c r="R7" s="36">
        <f>0</f>
        <v>0</v>
      </c>
      <c r="S7" s="36" t="str">
        <f t="shared" ref="S7:S8" si="19">IF(R7&lt;&gt;"","XXX","")</f>
        <v>XXX</v>
      </c>
      <c r="Z7" s="36" t="str">
        <f t="shared" ref="Z7:Z8" si="20">IF(AA7&lt;&gt;"","notes","")</f>
        <v>notes</v>
      </c>
      <c r="AA7" s="36" t="str">
        <f>IF(Data[[#This Row],[Notes]]="","",_xlfn.CONCAT("""",SUBSTITUTE(Data[[#This Row],[Notes]],CHAR(10),"%breakline%"),""""))</f>
        <v>"Rétraction scapulaire%breakline%Expirer en montant%breakline%Inspirer en descendant"</v>
      </c>
      <c r="AB7" s="36" t="str">
        <f t="shared" ref="AB7:AB8" si="21">IF(AA7&lt;&gt;"","XXX","")</f>
        <v>XXX</v>
      </c>
      <c r="AC7" s="27" t="s">
        <v>37</v>
      </c>
      <c r="AD7" s="36">
        <f>Data[[#This Row],[Step n°]]-1</f>
        <v>1</v>
      </c>
      <c r="AE7" s="36" t="str">
        <f t="shared" ref="AE7:AE8" si="22">IF(AD7&lt;&gt;"","XXX","")</f>
        <v>XXX</v>
      </c>
      <c r="AF7" s="36" t="str">
        <f t="shared" ref="AF7:AF8" si="23">IF(AG7&lt;&gt;"","exercise_category","")</f>
        <v>exercise_category</v>
      </c>
      <c r="AG7" s="36">
        <f>IF(_xlfn.IFNA(VLOOKUP(Data[[#This Row],[Exercise]],Table_Exercises[],2,FALSE),"")="","",_xlfn.IFNA(VLOOKUP(Data[[#This Row],[Exercise]],Table_Exercises[],2,FALSE),""))</f>
        <v>0</v>
      </c>
      <c r="AH7" s="36" t="str">
        <f t="shared" ref="AH7:AH8" si="24">IF(AG7&lt;&gt;"","XXX","")</f>
        <v>XXX</v>
      </c>
      <c r="AI7" s="37" t="str">
        <f t="shared" ref="AI7:AI8" si="25">IF(AJ7&lt;&gt;"","exercise_name","")</f>
        <v>exercise_name</v>
      </c>
      <c r="AJ7" s="36">
        <f>_xlfn.IFNA(IF(VLOOKUP(Data[[#This Row],[Exercise]],Table_Exercises[],3,FALSE)="/","",VLOOKUP(Data[[#This Row],[Exercise]],Table_Exercises[],3,FALSE)),"")</f>
        <v>6</v>
      </c>
      <c r="AK7" s="36" t="str">
        <f t="shared" ref="AK7:AK8" si="26">IF(AJ7&lt;&gt;"","XXX","")</f>
        <v>XXX</v>
      </c>
      <c r="AL7" s="27" t="str">
        <f>IF(OR(Data[[#This Row],[Weight]]="",Data[[#This Row],[Weight]]=0),"","exercise_weight")</f>
        <v>exercise_weight</v>
      </c>
      <c r="AM7" s="38" t="str">
        <f>IF(OR(Data[[#This Row],[Weight]]="",Data[[#This Row],[Weight]]=0),"",SUBSTITUTE(TEXT(Data[[#This Row],[Weight]],"0,0"),",","."))</f>
        <v>4.0</v>
      </c>
      <c r="AN7" s="36" t="str">
        <f t="shared" ref="AN7:AN8" si="27">IF(AM7&lt;&gt;"","XXX","")</f>
        <v>XXX</v>
      </c>
      <c r="AO7" s="27" t="str">
        <f t="shared" ref="AO7:AO8" si="28">IF(AL7&lt;&gt;"","weight_display_unit","")</f>
        <v>weight_display_unit</v>
      </c>
      <c r="AP7" s="38">
        <f t="shared" ref="AP7:AP8" si="29">IF(AL7&lt;&gt;"",1,"")</f>
        <v>1</v>
      </c>
      <c r="AQ7" s="36" t="str">
        <f t="shared" ref="AQ7:AQ8" si="30">IF(AP7&lt;&gt;"","XXX","")</f>
        <v>XXX</v>
      </c>
      <c r="AR7" s="27" t="s">
        <v>39</v>
      </c>
      <c r="AS7" s="36">
        <f>VLOOKUP(Data[[#This Row],[Duration Type]],Table_Duration_Type[],2,FALSE)</f>
        <v>29</v>
      </c>
      <c r="AT7" s="36" t="str">
        <f t="shared" ref="AT7:AT8" si="31">IF(AS7&lt;&gt;"","XXX","")</f>
        <v>XXX</v>
      </c>
      <c r="AU7" s="27" t="s">
        <v>41</v>
      </c>
      <c r="AV7" s="36">
        <f>2</f>
        <v>2</v>
      </c>
      <c r="AW7" s="36" t="str">
        <f t="shared" ref="AW7:AW8" si="32">IF(AV7&lt;&gt;"","XXX","")</f>
        <v>XXX</v>
      </c>
      <c r="AX7" s="27" t="s">
        <v>43</v>
      </c>
      <c r="AY7" s="36">
        <f>VLOOKUP(Data[[#This Row],[Set Type]],Table_Intensity[],2,FALSE)</f>
        <v>2</v>
      </c>
      <c r="AZ7" s="36" t="str">
        <f t="shared" ref="AZ7:AZ8" si="33">IF(AY7&lt;&gt;"","XXX","")</f>
        <v>XXX</v>
      </c>
      <c r="BA7" s="27" t="s">
        <v>152</v>
      </c>
      <c r="BB7" s="27" t="s">
        <v>152</v>
      </c>
      <c r="BC7" s="27" t="s">
        <v>152</v>
      </c>
      <c r="BD7" s="28" t="str">
        <f>IF(Data[[#This Row],[DataCol1]]&lt;&gt;"",SUBSTITUTE(_xlfn.TEXTJOIN(",",TRUE,Data[[#This Row],[DataCol1]:[DataCol48]]),"XXX",""),"")</f>
        <v>Data,0,workout_step,duration_reps,10,,target_value,0,,notes,"Rétraction scapulaire%breakline%Expirer en montant%breakline%Inspirer en descendant",,message_index,1,,exercise_category,0,,exercise_name,6,,exercise_weight,4.0,,weight_display_unit,1,,duration_type,29,,target_type,2,,intensity,2,,,,</v>
      </c>
    </row>
    <row r="8" spans="1:56" x14ac:dyDescent="0.25">
      <c r="A8" s="27">
        <v>3</v>
      </c>
      <c r="B8" s="42" t="s">
        <v>65</v>
      </c>
      <c r="C8" s="35"/>
      <c r="D8" s="27" t="s">
        <v>61</v>
      </c>
      <c r="E8" s="27">
        <v>60</v>
      </c>
      <c r="H8" s="27" t="str">
        <f t="shared" si="0"/>
        <v>Data</v>
      </c>
      <c r="I8" s="27">
        <f>0</f>
        <v>0</v>
      </c>
      <c r="J8" s="27" t="str">
        <f t="shared" si="1"/>
        <v>workout_step</v>
      </c>
      <c r="N8" s="36" t="str">
        <f>IF(VLOOKUP(Data[[#This Row],[Duration Type]],Table_Duration_Type[],3,FALSE)="/","",VLOOKUP(Data[[#This Row],[Duration Type]],Table_Duration_Type[],3,FALSE))</f>
        <v>duration_time</v>
      </c>
      <c r="O8" s="36" t="str">
        <f>IF(N8&lt;&gt;"",IF(N8='Reference Lists'!$C$2,SUBSTITUTE(TEXT(Data[[#This Row],[Duration Value]],"0,0"),",","."),Data[[#This Row],[Duration Value]]),"")</f>
        <v>60.0</v>
      </c>
      <c r="P8" s="36" t="str">
        <f t="shared" si="18"/>
        <v>XXX</v>
      </c>
      <c r="Q8" s="36" t="s">
        <v>42</v>
      </c>
      <c r="R8" s="36">
        <f>0</f>
        <v>0</v>
      </c>
      <c r="S8" s="36" t="str">
        <f t="shared" si="19"/>
        <v>XXX</v>
      </c>
      <c r="Z8" s="36" t="str">
        <f t="shared" si="20"/>
        <v/>
      </c>
      <c r="AA8" s="36" t="str">
        <f>IF(Data[[#This Row],[Notes]]="","",_xlfn.CONCAT("""",SUBSTITUTE(Data[[#This Row],[Notes]],CHAR(10),"%breakline%"),""""))</f>
        <v/>
      </c>
      <c r="AB8" s="36" t="str">
        <f t="shared" si="21"/>
        <v/>
      </c>
      <c r="AC8" s="27" t="s">
        <v>37</v>
      </c>
      <c r="AD8" s="36">
        <f>Data[[#This Row],[Step n°]]-1</f>
        <v>2</v>
      </c>
      <c r="AE8" s="36" t="str">
        <f t="shared" si="22"/>
        <v>XXX</v>
      </c>
      <c r="AF8" s="36" t="str">
        <f t="shared" si="23"/>
        <v/>
      </c>
      <c r="AG8" s="36" t="str">
        <f>IF(_xlfn.IFNA(VLOOKUP(Data[[#This Row],[Exercise]],Table_Exercises[],2,FALSE),"")="","",_xlfn.IFNA(VLOOKUP(Data[[#This Row],[Exercise]],Table_Exercises[],2,FALSE),""))</f>
        <v/>
      </c>
      <c r="AH8" s="36" t="str">
        <f t="shared" si="24"/>
        <v/>
      </c>
      <c r="AI8" s="37" t="str">
        <f t="shared" si="25"/>
        <v/>
      </c>
      <c r="AJ8" s="36" t="str">
        <f>_xlfn.IFNA(IF(VLOOKUP(Data[[#This Row],[Exercise]],Table_Exercises[],3,FALSE)="/","",VLOOKUP(Data[[#This Row],[Exercise]],Table_Exercises[],3,FALSE)),"")</f>
        <v/>
      </c>
      <c r="AK8" s="36" t="str">
        <f t="shared" si="26"/>
        <v/>
      </c>
      <c r="AL8" s="27" t="str">
        <f>IF(OR(Data[[#This Row],[Weight]]="",Data[[#This Row],[Weight]]=0),"","exercise_weight")</f>
        <v/>
      </c>
      <c r="AM8" s="38" t="str">
        <f>IF(OR(Data[[#This Row],[Weight]]="",Data[[#This Row],[Weight]]=0),"",SUBSTITUTE(TEXT(Data[[#This Row],[Weight]],"0,0"),",","."))</f>
        <v/>
      </c>
      <c r="AN8" s="36" t="str">
        <f t="shared" si="27"/>
        <v/>
      </c>
      <c r="AO8" s="27" t="str">
        <f t="shared" si="28"/>
        <v/>
      </c>
      <c r="AP8" s="38" t="str">
        <f t="shared" si="29"/>
        <v/>
      </c>
      <c r="AQ8" s="36" t="str">
        <f t="shared" si="30"/>
        <v/>
      </c>
      <c r="AR8" s="27" t="s">
        <v>39</v>
      </c>
      <c r="AS8" s="36">
        <f>VLOOKUP(Data[[#This Row],[Duration Type]],Table_Duration_Type[],2,FALSE)</f>
        <v>0</v>
      </c>
      <c r="AT8" s="36" t="str">
        <f t="shared" si="31"/>
        <v>XXX</v>
      </c>
      <c r="AU8" s="27" t="s">
        <v>41</v>
      </c>
      <c r="AV8" s="36">
        <f>2</f>
        <v>2</v>
      </c>
      <c r="AW8" s="36" t="str">
        <f t="shared" si="32"/>
        <v>XXX</v>
      </c>
      <c r="AX8" s="27" t="s">
        <v>43</v>
      </c>
      <c r="AY8" s="36">
        <f>VLOOKUP(Data[[#This Row],[Set Type]],Table_Intensity[],2,FALSE)</f>
        <v>1</v>
      </c>
      <c r="AZ8" s="36" t="str">
        <f t="shared" si="33"/>
        <v>XXX</v>
      </c>
      <c r="BA8" s="27" t="s">
        <v>152</v>
      </c>
      <c r="BB8" s="27" t="s">
        <v>152</v>
      </c>
      <c r="BC8" s="27" t="s">
        <v>152</v>
      </c>
      <c r="BD8" s="28" t="str">
        <f>IF(Data[[#This Row],[DataCol1]]&lt;&gt;"",SUBSTITUTE(_xlfn.TEXTJOIN(",",TRUE,Data[[#This Row],[DataCol1]:[DataCol48]]),"XXX",""),"")</f>
        <v>Data,0,workout_step,duration_time,60.0,,target_value,0,,message_index,2,,duration_type,0,,target_type,2,,intensity,1,,,,</v>
      </c>
    </row>
    <row r="9" spans="1:56" ht="45" x14ac:dyDescent="0.25">
      <c r="A9" s="27">
        <v>4</v>
      </c>
      <c r="B9" s="42" t="s">
        <v>64</v>
      </c>
      <c r="C9" s="35" t="s">
        <v>245</v>
      </c>
      <c r="D9" s="27" t="s">
        <v>62</v>
      </c>
      <c r="E9" s="27">
        <v>11</v>
      </c>
      <c r="F9" s="27">
        <v>10</v>
      </c>
      <c r="G9" s="39" t="s">
        <v>109</v>
      </c>
      <c r="H9" s="27" t="str">
        <f t="shared" si="0"/>
        <v>Data</v>
      </c>
      <c r="I9" s="27">
        <f>0</f>
        <v>0</v>
      </c>
      <c r="J9" s="27" t="str">
        <f t="shared" si="1"/>
        <v>workout_step</v>
      </c>
      <c r="N9" s="36" t="str">
        <f>IF(VLOOKUP(Data[[#This Row],[Duration Type]],Table_Duration_Type[],3,FALSE)="/","",VLOOKUP(Data[[#This Row],[Duration Type]],Table_Duration_Type[],3,FALSE))</f>
        <v>duration_reps</v>
      </c>
      <c r="O9" s="36">
        <f>IF(N9&lt;&gt;"",IF(N9='Reference Lists'!$C$2,SUBSTITUTE(TEXT(Data[[#This Row],[Duration Value]],"0,0"),",","."),Data[[#This Row],[Duration Value]]),"")</f>
        <v>11</v>
      </c>
      <c r="P9" s="36" t="str">
        <f t="shared" ref="P9:P72" si="34">IF(O9&lt;&gt;"","XXX","")</f>
        <v>XXX</v>
      </c>
      <c r="Q9" s="36" t="s">
        <v>42</v>
      </c>
      <c r="R9" s="36">
        <f>0</f>
        <v>0</v>
      </c>
      <c r="S9" s="36" t="str">
        <f t="shared" ref="S9:S72" si="35">IF(R9&lt;&gt;"","XXX","")</f>
        <v>XXX</v>
      </c>
      <c r="Z9" s="36" t="str">
        <f t="shared" ref="Z9:Z72" si="36">IF(AA9&lt;&gt;"","notes","")</f>
        <v>notes</v>
      </c>
      <c r="AA9" s="36" t="str">
        <f>IF(Data[[#This Row],[Notes]]="","",_xlfn.CONCAT("""",SUBSTITUTE(Data[[#This Row],[Notes]],CHAR(10),"%breakline%"),""""))</f>
        <v>"Rétraction scapulaire%breakline%Expirer en montant%breakline%Inspirer en descendant"</v>
      </c>
      <c r="AB9" s="36" t="str">
        <f t="shared" ref="AB9:AB72" si="37">IF(AA9&lt;&gt;"","XXX","")</f>
        <v>XXX</v>
      </c>
      <c r="AC9" s="27" t="s">
        <v>37</v>
      </c>
      <c r="AD9" s="36">
        <f>Data[[#This Row],[Step n°]]-1</f>
        <v>3</v>
      </c>
      <c r="AE9" s="36" t="str">
        <f t="shared" ref="AE9:AE72" si="38">IF(AD9&lt;&gt;"","XXX","")</f>
        <v>XXX</v>
      </c>
      <c r="AF9" s="36" t="str">
        <f t="shared" ref="AF9:AF72" si="39">IF(AG9&lt;&gt;"","exercise_category","")</f>
        <v>exercise_category</v>
      </c>
      <c r="AG9" s="36">
        <f>IF(_xlfn.IFNA(VLOOKUP(Data[[#This Row],[Exercise]],Table_Exercises[],2,FALSE),"")="","",_xlfn.IFNA(VLOOKUP(Data[[#This Row],[Exercise]],Table_Exercises[],2,FALSE),""))</f>
        <v>0</v>
      </c>
      <c r="AH9" s="36" t="str">
        <f t="shared" ref="AH9:AH72" si="40">IF(AG9&lt;&gt;"","XXX","")</f>
        <v>XXX</v>
      </c>
      <c r="AI9" s="37" t="str">
        <f t="shared" ref="AI9:AI72" si="41">IF(AJ9&lt;&gt;"","exercise_name","")</f>
        <v>exercise_name</v>
      </c>
      <c r="AJ9" s="36">
        <f>_xlfn.IFNA(IF(VLOOKUP(Data[[#This Row],[Exercise]],Table_Exercises[],3,FALSE)="/","",VLOOKUP(Data[[#This Row],[Exercise]],Table_Exercises[],3,FALSE)),"")</f>
        <v>6</v>
      </c>
      <c r="AK9" s="36" t="str">
        <f t="shared" ref="AK9:AK72" si="42">IF(AJ9&lt;&gt;"","XXX","")</f>
        <v>XXX</v>
      </c>
      <c r="AL9" s="27" t="str">
        <f>IF(OR(Data[[#This Row],[Weight]]="",Data[[#This Row],[Weight]]=0),"","exercise_weight")</f>
        <v>exercise_weight</v>
      </c>
      <c r="AM9" s="38" t="str">
        <f>IF(OR(Data[[#This Row],[Weight]]="",Data[[#This Row],[Weight]]=0),"",SUBSTITUTE(TEXT(Data[[#This Row],[Weight]],"0,0"),",","."))</f>
        <v>10.0</v>
      </c>
      <c r="AN9" s="36" t="str">
        <f t="shared" ref="AN9:AN72" si="43">IF(AM9&lt;&gt;"","XXX","")</f>
        <v>XXX</v>
      </c>
      <c r="AO9" s="27" t="str">
        <f t="shared" ref="AO9:AO72" si="44">IF(AL9&lt;&gt;"","weight_display_unit","")</f>
        <v>weight_display_unit</v>
      </c>
      <c r="AP9" s="38">
        <f t="shared" ref="AP9:AP72" si="45">IF(AL9&lt;&gt;"",1,"")</f>
        <v>1</v>
      </c>
      <c r="AQ9" s="36" t="str">
        <f t="shared" ref="AQ9:AQ72" si="46">IF(AP9&lt;&gt;"","XXX","")</f>
        <v>XXX</v>
      </c>
      <c r="AR9" s="27" t="s">
        <v>39</v>
      </c>
      <c r="AS9" s="36">
        <f>VLOOKUP(Data[[#This Row],[Duration Type]],Table_Duration_Type[],2,FALSE)</f>
        <v>29</v>
      </c>
      <c r="AT9" s="36" t="str">
        <f t="shared" ref="AT9:AT72" si="47">IF(AS9&lt;&gt;"","XXX","")</f>
        <v>XXX</v>
      </c>
      <c r="AU9" s="27" t="s">
        <v>41</v>
      </c>
      <c r="AV9" s="36">
        <f>2</f>
        <v>2</v>
      </c>
      <c r="AW9" s="36" t="str">
        <f t="shared" ref="AW9:AW72" si="48">IF(AV9&lt;&gt;"","XXX","")</f>
        <v>XXX</v>
      </c>
      <c r="AX9" s="27" t="s">
        <v>43</v>
      </c>
      <c r="AY9" s="36">
        <f>VLOOKUP(Data[[#This Row],[Set Type]],Table_Intensity[],2,FALSE)</f>
        <v>0</v>
      </c>
      <c r="AZ9" s="36" t="str">
        <f t="shared" ref="AZ9:AZ72" si="49">IF(AY9&lt;&gt;"","XXX","")</f>
        <v>XXX</v>
      </c>
      <c r="BA9" s="27" t="s">
        <v>152</v>
      </c>
      <c r="BB9" s="27" t="s">
        <v>152</v>
      </c>
      <c r="BC9" s="27" t="s">
        <v>152</v>
      </c>
      <c r="BD9" s="28" t="str">
        <f>IF(Data[[#This Row],[DataCol1]]&lt;&gt;"",SUBSTITUTE(_xlfn.TEXTJOIN(",",TRUE,Data[[#This Row],[DataCol1]:[DataCol48]]),"XXX",""),"")</f>
        <v>Data,0,workout_step,duration_reps,11,,target_value,0,,notes,"Rétraction scapulaire%breakline%Expirer en montant%breakline%Inspirer en descendant",,message_index,3,,exercise_category,0,,exercise_name,6,,exercise_weight,10.0,,weight_display_unit,1,,duration_type,29,,target_type,2,,intensity,0,,,,</v>
      </c>
    </row>
    <row r="10" spans="1:56" x14ac:dyDescent="0.25">
      <c r="A10" s="27">
        <v>5</v>
      </c>
      <c r="B10" s="42" t="s">
        <v>65</v>
      </c>
      <c r="C10" s="35"/>
      <c r="D10" s="27" t="s">
        <v>61</v>
      </c>
      <c r="E10" s="27">
        <v>90</v>
      </c>
      <c r="H10" s="27" t="str">
        <f t="shared" si="0"/>
        <v>Data</v>
      </c>
      <c r="I10" s="27">
        <f>0</f>
        <v>0</v>
      </c>
      <c r="J10" s="27" t="str">
        <f t="shared" si="1"/>
        <v>workout_step</v>
      </c>
      <c r="N10" s="36" t="str">
        <f>IF(VLOOKUP(Data[[#This Row],[Duration Type]],Table_Duration_Type[],3,FALSE)="/","",VLOOKUP(Data[[#This Row],[Duration Type]],Table_Duration_Type[],3,FALSE))</f>
        <v>duration_time</v>
      </c>
      <c r="O10" s="36" t="str">
        <f>IF(N10&lt;&gt;"",IF(N10='Reference Lists'!$C$2,SUBSTITUTE(TEXT(Data[[#This Row],[Duration Value]],"0,0"),",","."),Data[[#This Row],[Duration Value]]),"")</f>
        <v>90.0</v>
      </c>
      <c r="P10" s="36" t="str">
        <f t="shared" si="34"/>
        <v>XXX</v>
      </c>
      <c r="Q10" s="36" t="s">
        <v>42</v>
      </c>
      <c r="R10" s="36">
        <f>0</f>
        <v>0</v>
      </c>
      <c r="S10" s="36" t="str">
        <f t="shared" si="35"/>
        <v>XXX</v>
      </c>
      <c r="Z10" s="36" t="str">
        <f t="shared" si="36"/>
        <v/>
      </c>
      <c r="AA10" s="36" t="str">
        <f>IF(Data[[#This Row],[Notes]]="","",_xlfn.CONCAT("""",SUBSTITUTE(Data[[#This Row],[Notes]],CHAR(10),"%breakline%"),""""))</f>
        <v/>
      </c>
      <c r="AB10" s="36" t="str">
        <f t="shared" si="37"/>
        <v/>
      </c>
      <c r="AC10" s="27" t="s">
        <v>37</v>
      </c>
      <c r="AD10" s="36">
        <f>Data[[#This Row],[Step n°]]-1</f>
        <v>4</v>
      </c>
      <c r="AE10" s="36" t="str">
        <f t="shared" si="38"/>
        <v>XXX</v>
      </c>
      <c r="AF10" s="36" t="str">
        <f t="shared" si="39"/>
        <v/>
      </c>
      <c r="AG10" s="36" t="str">
        <f>IF(_xlfn.IFNA(VLOOKUP(Data[[#This Row],[Exercise]],Table_Exercises[],2,FALSE),"")="","",_xlfn.IFNA(VLOOKUP(Data[[#This Row],[Exercise]],Table_Exercises[],2,FALSE),""))</f>
        <v/>
      </c>
      <c r="AH10" s="36" t="str">
        <f t="shared" si="40"/>
        <v/>
      </c>
      <c r="AI10" s="37" t="str">
        <f t="shared" si="41"/>
        <v/>
      </c>
      <c r="AJ10" s="36" t="str">
        <f>_xlfn.IFNA(IF(VLOOKUP(Data[[#This Row],[Exercise]],Table_Exercises[],3,FALSE)="/","",VLOOKUP(Data[[#This Row],[Exercise]],Table_Exercises[],3,FALSE)),"")</f>
        <v/>
      </c>
      <c r="AK10" s="36" t="str">
        <f t="shared" si="42"/>
        <v/>
      </c>
      <c r="AL10" s="27" t="str">
        <f>IF(OR(Data[[#This Row],[Weight]]="",Data[[#This Row],[Weight]]=0),"","exercise_weight")</f>
        <v/>
      </c>
      <c r="AM10" s="38" t="str">
        <f>IF(OR(Data[[#This Row],[Weight]]="",Data[[#This Row],[Weight]]=0),"",SUBSTITUTE(TEXT(Data[[#This Row],[Weight]],"0,0"),",","."))</f>
        <v/>
      </c>
      <c r="AN10" s="36" t="str">
        <f t="shared" si="43"/>
        <v/>
      </c>
      <c r="AO10" s="27" t="str">
        <f t="shared" si="44"/>
        <v/>
      </c>
      <c r="AP10" s="38" t="str">
        <f t="shared" si="45"/>
        <v/>
      </c>
      <c r="AQ10" s="36" t="str">
        <f t="shared" si="46"/>
        <v/>
      </c>
      <c r="AR10" s="27" t="s">
        <v>39</v>
      </c>
      <c r="AS10" s="36">
        <f>VLOOKUP(Data[[#This Row],[Duration Type]],Table_Duration_Type[],2,FALSE)</f>
        <v>0</v>
      </c>
      <c r="AT10" s="36" t="str">
        <f t="shared" si="47"/>
        <v>XXX</v>
      </c>
      <c r="AU10" s="27" t="s">
        <v>41</v>
      </c>
      <c r="AV10" s="36">
        <f>2</f>
        <v>2</v>
      </c>
      <c r="AW10" s="36" t="str">
        <f t="shared" si="48"/>
        <v>XXX</v>
      </c>
      <c r="AX10" s="27" t="s">
        <v>43</v>
      </c>
      <c r="AY10" s="36">
        <f>VLOOKUP(Data[[#This Row],[Set Type]],Table_Intensity[],2,FALSE)</f>
        <v>1</v>
      </c>
      <c r="AZ10" s="36" t="str">
        <f t="shared" si="49"/>
        <v>XXX</v>
      </c>
      <c r="BA10" s="27" t="s">
        <v>152</v>
      </c>
      <c r="BB10" s="27" t="s">
        <v>152</v>
      </c>
      <c r="BC10" s="27" t="s">
        <v>152</v>
      </c>
      <c r="BD10" s="28" t="str">
        <f>IF(Data[[#This Row],[DataCol1]]&lt;&gt;"",SUBSTITUTE(_xlfn.TEXTJOIN(",",TRUE,Data[[#This Row],[DataCol1]:[DataCol48]]),"XXX",""),"")</f>
        <v>Data,0,workout_step,duration_time,90.0,,target_value,0,,message_index,4,,duration_type,0,,target_type,2,,intensity,1,,,,</v>
      </c>
    </row>
    <row r="11" spans="1:56" ht="45" x14ac:dyDescent="0.25">
      <c r="A11" s="27">
        <v>6</v>
      </c>
      <c r="B11" s="42" t="s">
        <v>64</v>
      </c>
      <c r="C11" s="35" t="s">
        <v>245</v>
      </c>
      <c r="D11" s="27" t="s">
        <v>62</v>
      </c>
      <c r="E11" s="27">
        <v>11</v>
      </c>
      <c r="F11" s="27">
        <v>10</v>
      </c>
      <c r="G11" s="39" t="s">
        <v>109</v>
      </c>
      <c r="H11" s="27" t="str">
        <f t="shared" si="0"/>
        <v>Data</v>
      </c>
      <c r="I11" s="27">
        <f>0</f>
        <v>0</v>
      </c>
      <c r="J11" s="27" t="str">
        <f t="shared" si="1"/>
        <v>workout_step</v>
      </c>
      <c r="N11" s="36" t="str">
        <f>IF(VLOOKUP(Data[[#This Row],[Duration Type]],Table_Duration_Type[],3,FALSE)="/","",VLOOKUP(Data[[#This Row],[Duration Type]],Table_Duration_Type[],3,FALSE))</f>
        <v>duration_reps</v>
      </c>
      <c r="O11" s="36">
        <f>IF(N11&lt;&gt;"",IF(N11='Reference Lists'!$C$2,SUBSTITUTE(TEXT(Data[[#This Row],[Duration Value]],"0,0"),",","."),Data[[#This Row],[Duration Value]]),"")</f>
        <v>11</v>
      </c>
      <c r="P11" s="36" t="str">
        <f t="shared" si="34"/>
        <v>XXX</v>
      </c>
      <c r="Q11" s="36" t="s">
        <v>42</v>
      </c>
      <c r="R11" s="36">
        <f>0</f>
        <v>0</v>
      </c>
      <c r="S11" s="36" t="str">
        <f t="shared" si="35"/>
        <v>XXX</v>
      </c>
      <c r="Z11" s="36" t="str">
        <f t="shared" si="36"/>
        <v>notes</v>
      </c>
      <c r="AA11" s="36" t="str">
        <f>IF(Data[[#This Row],[Notes]]="","",_xlfn.CONCAT("""",SUBSTITUTE(Data[[#This Row],[Notes]],CHAR(10),"%breakline%"),""""))</f>
        <v>"Rétraction scapulaire%breakline%Expirer en montant%breakline%Inspirer en descendant"</v>
      </c>
      <c r="AB11" s="36" t="str">
        <f t="shared" si="37"/>
        <v>XXX</v>
      </c>
      <c r="AC11" s="27" t="s">
        <v>37</v>
      </c>
      <c r="AD11" s="36">
        <f>Data[[#This Row],[Step n°]]-1</f>
        <v>5</v>
      </c>
      <c r="AE11" s="36" t="str">
        <f t="shared" si="38"/>
        <v>XXX</v>
      </c>
      <c r="AF11" s="36" t="str">
        <f t="shared" si="39"/>
        <v>exercise_category</v>
      </c>
      <c r="AG11" s="36">
        <f>IF(_xlfn.IFNA(VLOOKUP(Data[[#This Row],[Exercise]],Table_Exercises[],2,FALSE),"")="","",_xlfn.IFNA(VLOOKUP(Data[[#This Row],[Exercise]],Table_Exercises[],2,FALSE),""))</f>
        <v>0</v>
      </c>
      <c r="AH11" s="36" t="str">
        <f t="shared" si="40"/>
        <v>XXX</v>
      </c>
      <c r="AI11" s="37" t="str">
        <f t="shared" si="41"/>
        <v>exercise_name</v>
      </c>
      <c r="AJ11" s="36">
        <f>_xlfn.IFNA(IF(VLOOKUP(Data[[#This Row],[Exercise]],Table_Exercises[],3,FALSE)="/","",VLOOKUP(Data[[#This Row],[Exercise]],Table_Exercises[],3,FALSE)),"")</f>
        <v>6</v>
      </c>
      <c r="AK11" s="36" t="str">
        <f t="shared" si="42"/>
        <v>XXX</v>
      </c>
      <c r="AL11" s="27" t="str">
        <f>IF(OR(Data[[#This Row],[Weight]]="",Data[[#This Row],[Weight]]=0),"","exercise_weight")</f>
        <v>exercise_weight</v>
      </c>
      <c r="AM11" s="38" t="str">
        <f>IF(OR(Data[[#This Row],[Weight]]="",Data[[#This Row],[Weight]]=0),"",SUBSTITUTE(TEXT(Data[[#This Row],[Weight]],"0,0"),",","."))</f>
        <v>10.0</v>
      </c>
      <c r="AN11" s="36" t="str">
        <f t="shared" si="43"/>
        <v>XXX</v>
      </c>
      <c r="AO11" s="27" t="str">
        <f t="shared" si="44"/>
        <v>weight_display_unit</v>
      </c>
      <c r="AP11" s="38">
        <f t="shared" si="45"/>
        <v>1</v>
      </c>
      <c r="AQ11" s="36" t="str">
        <f t="shared" si="46"/>
        <v>XXX</v>
      </c>
      <c r="AR11" s="27" t="s">
        <v>39</v>
      </c>
      <c r="AS11" s="36">
        <f>VLOOKUP(Data[[#This Row],[Duration Type]],Table_Duration_Type[],2,FALSE)</f>
        <v>29</v>
      </c>
      <c r="AT11" s="36" t="str">
        <f t="shared" si="47"/>
        <v>XXX</v>
      </c>
      <c r="AU11" s="27" t="s">
        <v>41</v>
      </c>
      <c r="AV11" s="36">
        <f>2</f>
        <v>2</v>
      </c>
      <c r="AW11" s="36" t="str">
        <f t="shared" si="48"/>
        <v>XXX</v>
      </c>
      <c r="AX11" s="27" t="s">
        <v>43</v>
      </c>
      <c r="AY11" s="36">
        <f>VLOOKUP(Data[[#This Row],[Set Type]],Table_Intensity[],2,FALSE)</f>
        <v>0</v>
      </c>
      <c r="AZ11" s="36" t="str">
        <f t="shared" si="49"/>
        <v>XXX</v>
      </c>
      <c r="BA11" s="27" t="s">
        <v>152</v>
      </c>
      <c r="BB11" s="27" t="s">
        <v>152</v>
      </c>
      <c r="BC11" s="27" t="s">
        <v>152</v>
      </c>
      <c r="BD11" s="28" t="str">
        <f>IF(Data[[#This Row],[DataCol1]]&lt;&gt;"",SUBSTITUTE(_xlfn.TEXTJOIN(",",TRUE,Data[[#This Row],[DataCol1]:[DataCol48]]),"XXX",""),"")</f>
        <v>Data,0,workout_step,duration_reps,11,,target_value,0,,notes,"Rétraction scapulaire%breakline%Expirer en montant%breakline%Inspirer en descendant",,message_index,5,,exercise_category,0,,exercise_name,6,,exercise_weight,10.0,,weight_display_unit,1,,duration_type,29,,target_type,2,,intensity,0,,,,</v>
      </c>
    </row>
    <row r="12" spans="1:56" x14ac:dyDescent="0.25">
      <c r="A12" s="27">
        <v>7</v>
      </c>
      <c r="B12" s="42" t="s">
        <v>65</v>
      </c>
      <c r="C12" s="35"/>
      <c r="D12" s="27" t="s">
        <v>61</v>
      </c>
      <c r="E12" s="27">
        <v>90</v>
      </c>
      <c r="H12" s="27" t="str">
        <f t="shared" si="0"/>
        <v>Data</v>
      </c>
      <c r="I12" s="27">
        <f>0</f>
        <v>0</v>
      </c>
      <c r="J12" s="27" t="str">
        <f t="shared" si="1"/>
        <v>workout_step</v>
      </c>
      <c r="N12" s="36" t="str">
        <f>IF(VLOOKUP(Data[[#This Row],[Duration Type]],Table_Duration_Type[],3,FALSE)="/","",VLOOKUP(Data[[#This Row],[Duration Type]],Table_Duration_Type[],3,FALSE))</f>
        <v>duration_time</v>
      </c>
      <c r="O12" s="36" t="str">
        <f>IF(N12&lt;&gt;"",IF(N12='Reference Lists'!$C$2,SUBSTITUTE(TEXT(Data[[#This Row],[Duration Value]],"0,0"),",","."),Data[[#This Row],[Duration Value]]),"")</f>
        <v>90.0</v>
      </c>
      <c r="P12" s="36" t="str">
        <f t="shared" si="34"/>
        <v>XXX</v>
      </c>
      <c r="Q12" s="36" t="s">
        <v>42</v>
      </c>
      <c r="R12" s="36">
        <f>0</f>
        <v>0</v>
      </c>
      <c r="S12" s="36" t="str">
        <f t="shared" si="35"/>
        <v>XXX</v>
      </c>
      <c r="Z12" s="36" t="str">
        <f t="shared" si="36"/>
        <v/>
      </c>
      <c r="AA12" s="36" t="str">
        <f>IF(Data[[#This Row],[Notes]]="","",_xlfn.CONCAT("""",SUBSTITUTE(Data[[#This Row],[Notes]],CHAR(10),"%breakline%"),""""))</f>
        <v/>
      </c>
      <c r="AB12" s="36" t="str">
        <f t="shared" si="37"/>
        <v/>
      </c>
      <c r="AC12" s="27" t="s">
        <v>37</v>
      </c>
      <c r="AD12" s="36">
        <f>Data[[#This Row],[Step n°]]-1</f>
        <v>6</v>
      </c>
      <c r="AE12" s="36" t="str">
        <f t="shared" si="38"/>
        <v>XXX</v>
      </c>
      <c r="AF12" s="36" t="str">
        <f t="shared" si="39"/>
        <v/>
      </c>
      <c r="AG12" s="36" t="str">
        <f>IF(_xlfn.IFNA(VLOOKUP(Data[[#This Row],[Exercise]],Table_Exercises[],2,FALSE),"")="","",_xlfn.IFNA(VLOOKUP(Data[[#This Row],[Exercise]],Table_Exercises[],2,FALSE),""))</f>
        <v/>
      </c>
      <c r="AH12" s="36" t="str">
        <f t="shared" si="40"/>
        <v/>
      </c>
      <c r="AI12" s="37" t="str">
        <f t="shared" si="41"/>
        <v/>
      </c>
      <c r="AJ12" s="36" t="str">
        <f>_xlfn.IFNA(IF(VLOOKUP(Data[[#This Row],[Exercise]],Table_Exercises[],3,FALSE)="/","",VLOOKUP(Data[[#This Row],[Exercise]],Table_Exercises[],3,FALSE)),"")</f>
        <v/>
      </c>
      <c r="AK12" s="36" t="str">
        <f t="shared" si="42"/>
        <v/>
      </c>
      <c r="AL12" s="27" t="str">
        <f>IF(OR(Data[[#This Row],[Weight]]="",Data[[#This Row],[Weight]]=0),"","exercise_weight")</f>
        <v/>
      </c>
      <c r="AM12" s="38" t="str">
        <f>IF(OR(Data[[#This Row],[Weight]]="",Data[[#This Row],[Weight]]=0),"",SUBSTITUTE(TEXT(Data[[#This Row],[Weight]],"0,0"),",","."))</f>
        <v/>
      </c>
      <c r="AN12" s="36" t="str">
        <f t="shared" si="43"/>
        <v/>
      </c>
      <c r="AO12" s="27" t="str">
        <f t="shared" si="44"/>
        <v/>
      </c>
      <c r="AP12" s="38" t="str">
        <f t="shared" si="45"/>
        <v/>
      </c>
      <c r="AQ12" s="36" t="str">
        <f t="shared" si="46"/>
        <v/>
      </c>
      <c r="AR12" s="27" t="s">
        <v>39</v>
      </c>
      <c r="AS12" s="36">
        <f>VLOOKUP(Data[[#This Row],[Duration Type]],Table_Duration_Type[],2,FALSE)</f>
        <v>0</v>
      </c>
      <c r="AT12" s="36" t="str">
        <f t="shared" si="47"/>
        <v>XXX</v>
      </c>
      <c r="AU12" s="27" t="s">
        <v>41</v>
      </c>
      <c r="AV12" s="36">
        <f>2</f>
        <v>2</v>
      </c>
      <c r="AW12" s="36" t="str">
        <f t="shared" si="48"/>
        <v>XXX</v>
      </c>
      <c r="AX12" s="27" t="s">
        <v>43</v>
      </c>
      <c r="AY12" s="36">
        <f>VLOOKUP(Data[[#This Row],[Set Type]],Table_Intensity[],2,FALSE)</f>
        <v>1</v>
      </c>
      <c r="AZ12" s="36" t="str">
        <f t="shared" si="49"/>
        <v>XXX</v>
      </c>
      <c r="BA12" s="27" t="s">
        <v>152</v>
      </c>
      <c r="BB12" s="27" t="s">
        <v>152</v>
      </c>
      <c r="BC12" s="27" t="s">
        <v>152</v>
      </c>
      <c r="BD12" s="28" t="str">
        <f>IF(Data[[#This Row],[DataCol1]]&lt;&gt;"",SUBSTITUTE(_xlfn.TEXTJOIN(",",TRUE,Data[[#This Row],[DataCol1]:[DataCol48]]),"XXX",""),"")</f>
        <v>Data,0,workout_step,duration_time,90.0,,target_value,0,,message_index,6,,duration_type,0,,target_type,2,,intensity,1,,,,</v>
      </c>
    </row>
    <row r="13" spans="1:56" ht="45" x14ac:dyDescent="0.25">
      <c r="A13" s="27">
        <v>8</v>
      </c>
      <c r="B13" s="42" t="s">
        <v>64</v>
      </c>
      <c r="C13" s="35" t="s">
        <v>245</v>
      </c>
      <c r="D13" s="27" t="s">
        <v>62</v>
      </c>
      <c r="E13" s="27">
        <v>10</v>
      </c>
      <c r="F13" s="27">
        <v>10</v>
      </c>
      <c r="G13" s="39" t="s">
        <v>109</v>
      </c>
      <c r="H13" s="27" t="str">
        <f t="shared" si="0"/>
        <v>Data</v>
      </c>
      <c r="I13" s="27">
        <f>0</f>
        <v>0</v>
      </c>
      <c r="J13" s="27" t="str">
        <f t="shared" si="1"/>
        <v>workout_step</v>
      </c>
      <c r="N13" s="36" t="str">
        <f>IF(VLOOKUP(Data[[#This Row],[Duration Type]],Table_Duration_Type[],3,FALSE)="/","",VLOOKUP(Data[[#This Row],[Duration Type]],Table_Duration_Type[],3,FALSE))</f>
        <v>duration_reps</v>
      </c>
      <c r="O13" s="36">
        <f>IF(N13&lt;&gt;"",IF(N13='Reference Lists'!$C$2,SUBSTITUTE(TEXT(Data[[#This Row],[Duration Value]],"0,0"),",","."),Data[[#This Row],[Duration Value]]),"")</f>
        <v>10</v>
      </c>
      <c r="P13" s="36" t="str">
        <f t="shared" si="34"/>
        <v>XXX</v>
      </c>
      <c r="Q13" s="36" t="s">
        <v>42</v>
      </c>
      <c r="R13" s="36">
        <f>0</f>
        <v>0</v>
      </c>
      <c r="S13" s="36" t="str">
        <f t="shared" si="35"/>
        <v>XXX</v>
      </c>
      <c r="Z13" s="36" t="str">
        <f t="shared" si="36"/>
        <v>notes</v>
      </c>
      <c r="AA13" s="36" t="str">
        <f>IF(Data[[#This Row],[Notes]]="","",_xlfn.CONCAT("""",SUBSTITUTE(Data[[#This Row],[Notes]],CHAR(10),"%breakline%"),""""))</f>
        <v>"Rétraction scapulaire%breakline%Expirer en montant%breakline%Inspirer en descendant"</v>
      </c>
      <c r="AB13" s="36" t="str">
        <f t="shared" si="37"/>
        <v>XXX</v>
      </c>
      <c r="AC13" s="27" t="s">
        <v>37</v>
      </c>
      <c r="AD13" s="36">
        <f>Data[[#This Row],[Step n°]]-1</f>
        <v>7</v>
      </c>
      <c r="AE13" s="36" t="str">
        <f t="shared" si="38"/>
        <v>XXX</v>
      </c>
      <c r="AF13" s="36" t="str">
        <f t="shared" si="39"/>
        <v>exercise_category</v>
      </c>
      <c r="AG13" s="36">
        <f>IF(_xlfn.IFNA(VLOOKUP(Data[[#This Row],[Exercise]],Table_Exercises[],2,FALSE),"")="","",_xlfn.IFNA(VLOOKUP(Data[[#This Row],[Exercise]],Table_Exercises[],2,FALSE),""))</f>
        <v>0</v>
      </c>
      <c r="AH13" s="36" t="str">
        <f t="shared" si="40"/>
        <v>XXX</v>
      </c>
      <c r="AI13" s="37" t="str">
        <f t="shared" si="41"/>
        <v>exercise_name</v>
      </c>
      <c r="AJ13" s="36">
        <f>_xlfn.IFNA(IF(VLOOKUP(Data[[#This Row],[Exercise]],Table_Exercises[],3,FALSE)="/","",VLOOKUP(Data[[#This Row],[Exercise]],Table_Exercises[],3,FALSE)),"")</f>
        <v>6</v>
      </c>
      <c r="AK13" s="36" t="str">
        <f t="shared" si="42"/>
        <v>XXX</v>
      </c>
      <c r="AL13" s="27" t="str">
        <f>IF(OR(Data[[#This Row],[Weight]]="",Data[[#This Row],[Weight]]=0),"","exercise_weight")</f>
        <v>exercise_weight</v>
      </c>
      <c r="AM13" s="38" t="str">
        <f>IF(OR(Data[[#This Row],[Weight]]="",Data[[#This Row],[Weight]]=0),"",SUBSTITUTE(TEXT(Data[[#This Row],[Weight]],"0,0"),",","."))</f>
        <v>10.0</v>
      </c>
      <c r="AN13" s="36" t="str">
        <f t="shared" si="43"/>
        <v>XXX</v>
      </c>
      <c r="AO13" s="27" t="str">
        <f t="shared" si="44"/>
        <v>weight_display_unit</v>
      </c>
      <c r="AP13" s="38">
        <f t="shared" si="45"/>
        <v>1</v>
      </c>
      <c r="AQ13" s="36" t="str">
        <f t="shared" si="46"/>
        <v>XXX</v>
      </c>
      <c r="AR13" s="27" t="s">
        <v>39</v>
      </c>
      <c r="AS13" s="36">
        <f>VLOOKUP(Data[[#This Row],[Duration Type]],Table_Duration_Type[],2,FALSE)</f>
        <v>29</v>
      </c>
      <c r="AT13" s="36" t="str">
        <f t="shared" si="47"/>
        <v>XXX</v>
      </c>
      <c r="AU13" s="27" t="s">
        <v>41</v>
      </c>
      <c r="AV13" s="36">
        <f>2</f>
        <v>2</v>
      </c>
      <c r="AW13" s="36" t="str">
        <f t="shared" si="48"/>
        <v>XXX</v>
      </c>
      <c r="AX13" s="27" t="s">
        <v>43</v>
      </c>
      <c r="AY13" s="36">
        <f>VLOOKUP(Data[[#This Row],[Set Type]],Table_Intensity[],2,FALSE)</f>
        <v>0</v>
      </c>
      <c r="AZ13" s="36" t="str">
        <f t="shared" si="49"/>
        <v>XXX</v>
      </c>
      <c r="BA13" s="27" t="s">
        <v>152</v>
      </c>
      <c r="BB13" s="27" t="s">
        <v>152</v>
      </c>
      <c r="BC13" s="27" t="s">
        <v>152</v>
      </c>
      <c r="BD13" s="28" t="str">
        <f>IF(Data[[#This Row],[DataCol1]]&lt;&gt;"",SUBSTITUTE(_xlfn.TEXTJOIN(",",TRUE,Data[[#This Row],[DataCol1]:[DataCol48]]),"XXX",""),"")</f>
        <v>Data,0,workout_step,duration_reps,10,,target_value,0,,notes,"Rétraction scapulaire%breakline%Expirer en montant%breakline%Inspirer en descendant",,message_index,7,,exercise_category,0,,exercise_name,6,,exercise_weight,10.0,,weight_display_unit,1,,duration_type,29,,target_type,2,,intensity,0,,,,</v>
      </c>
    </row>
    <row r="14" spans="1:56" x14ac:dyDescent="0.25">
      <c r="A14" s="27">
        <v>9</v>
      </c>
      <c r="B14" s="42" t="s">
        <v>65</v>
      </c>
      <c r="C14" s="35"/>
      <c r="D14" s="27" t="s">
        <v>61</v>
      </c>
      <c r="E14" s="27">
        <v>90</v>
      </c>
      <c r="H14" s="27" t="str">
        <f t="shared" si="0"/>
        <v>Data</v>
      </c>
      <c r="I14" s="27">
        <f>0</f>
        <v>0</v>
      </c>
      <c r="J14" s="27" t="str">
        <f t="shared" si="1"/>
        <v>workout_step</v>
      </c>
      <c r="N14" s="36" t="str">
        <f>IF(VLOOKUP(Data[[#This Row],[Duration Type]],Table_Duration_Type[],3,FALSE)="/","",VLOOKUP(Data[[#This Row],[Duration Type]],Table_Duration_Type[],3,FALSE))</f>
        <v>duration_time</v>
      </c>
      <c r="O14" s="36" t="str">
        <f>IF(N14&lt;&gt;"",IF(N14='Reference Lists'!$C$2,SUBSTITUTE(TEXT(Data[[#This Row],[Duration Value]],"0,0"),",","."),Data[[#This Row],[Duration Value]]),"")</f>
        <v>90.0</v>
      </c>
      <c r="P14" s="36" t="str">
        <f t="shared" si="34"/>
        <v>XXX</v>
      </c>
      <c r="Q14" s="36" t="s">
        <v>42</v>
      </c>
      <c r="R14" s="36">
        <f>0</f>
        <v>0</v>
      </c>
      <c r="S14" s="36" t="str">
        <f t="shared" si="35"/>
        <v>XXX</v>
      </c>
      <c r="Z14" s="36" t="str">
        <f t="shared" si="36"/>
        <v/>
      </c>
      <c r="AA14" s="36" t="str">
        <f>IF(Data[[#This Row],[Notes]]="","",_xlfn.CONCAT("""",SUBSTITUTE(Data[[#This Row],[Notes]],CHAR(10),"%breakline%"),""""))</f>
        <v/>
      </c>
      <c r="AB14" s="36" t="str">
        <f t="shared" si="37"/>
        <v/>
      </c>
      <c r="AC14" s="27" t="s">
        <v>37</v>
      </c>
      <c r="AD14" s="36">
        <f>Data[[#This Row],[Step n°]]-1</f>
        <v>8</v>
      </c>
      <c r="AE14" s="36" t="str">
        <f t="shared" si="38"/>
        <v>XXX</v>
      </c>
      <c r="AF14" s="36" t="str">
        <f t="shared" si="39"/>
        <v/>
      </c>
      <c r="AG14" s="36" t="str">
        <f>IF(_xlfn.IFNA(VLOOKUP(Data[[#This Row],[Exercise]],Table_Exercises[],2,FALSE),"")="","",_xlfn.IFNA(VLOOKUP(Data[[#This Row],[Exercise]],Table_Exercises[],2,FALSE),""))</f>
        <v/>
      </c>
      <c r="AH14" s="36" t="str">
        <f t="shared" si="40"/>
        <v/>
      </c>
      <c r="AI14" s="37" t="str">
        <f t="shared" si="41"/>
        <v/>
      </c>
      <c r="AJ14" s="36" t="str">
        <f>_xlfn.IFNA(IF(VLOOKUP(Data[[#This Row],[Exercise]],Table_Exercises[],3,FALSE)="/","",VLOOKUP(Data[[#This Row],[Exercise]],Table_Exercises[],3,FALSE)),"")</f>
        <v/>
      </c>
      <c r="AK14" s="36" t="str">
        <f t="shared" si="42"/>
        <v/>
      </c>
      <c r="AL14" s="27" t="str">
        <f>IF(OR(Data[[#This Row],[Weight]]="",Data[[#This Row],[Weight]]=0),"","exercise_weight")</f>
        <v/>
      </c>
      <c r="AM14" s="38" t="str">
        <f>IF(OR(Data[[#This Row],[Weight]]="",Data[[#This Row],[Weight]]=0),"",SUBSTITUTE(TEXT(Data[[#This Row],[Weight]],"0,0"),",","."))</f>
        <v/>
      </c>
      <c r="AN14" s="36" t="str">
        <f t="shared" si="43"/>
        <v/>
      </c>
      <c r="AO14" s="27" t="str">
        <f t="shared" si="44"/>
        <v/>
      </c>
      <c r="AP14" s="38" t="str">
        <f t="shared" si="45"/>
        <v/>
      </c>
      <c r="AQ14" s="36" t="str">
        <f t="shared" si="46"/>
        <v/>
      </c>
      <c r="AR14" s="27" t="s">
        <v>39</v>
      </c>
      <c r="AS14" s="36">
        <f>VLOOKUP(Data[[#This Row],[Duration Type]],Table_Duration_Type[],2,FALSE)</f>
        <v>0</v>
      </c>
      <c r="AT14" s="36" t="str">
        <f t="shared" si="47"/>
        <v>XXX</v>
      </c>
      <c r="AU14" s="27" t="s">
        <v>41</v>
      </c>
      <c r="AV14" s="36">
        <f>2</f>
        <v>2</v>
      </c>
      <c r="AW14" s="36" t="str">
        <f t="shared" si="48"/>
        <v>XXX</v>
      </c>
      <c r="AX14" s="27" t="s">
        <v>43</v>
      </c>
      <c r="AY14" s="36">
        <f>VLOOKUP(Data[[#This Row],[Set Type]],Table_Intensity[],2,FALSE)</f>
        <v>1</v>
      </c>
      <c r="AZ14" s="36" t="str">
        <f t="shared" si="49"/>
        <v>XXX</v>
      </c>
      <c r="BA14" s="27" t="s">
        <v>152</v>
      </c>
      <c r="BB14" s="27" t="s">
        <v>152</v>
      </c>
      <c r="BC14" s="27" t="s">
        <v>152</v>
      </c>
      <c r="BD14" s="28" t="str">
        <f>IF(Data[[#This Row],[DataCol1]]&lt;&gt;"",SUBSTITUTE(_xlfn.TEXTJOIN(",",TRUE,Data[[#This Row],[DataCol1]:[DataCol48]]),"XXX",""),"")</f>
        <v>Data,0,workout_step,duration_time,90.0,,target_value,0,,message_index,8,,duration_type,0,,target_type,2,,intensity,1,,,,</v>
      </c>
    </row>
    <row r="15" spans="1:56" ht="45" x14ac:dyDescent="0.25">
      <c r="A15" s="27">
        <v>10</v>
      </c>
      <c r="B15" s="42" t="s">
        <v>64</v>
      </c>
      <c r="C15" s="35" t="s">
        <v>245</v>
      </c>
      <c r="D15" s="27" t="s">
        <v>62</v>
      </c>
      <c r="E15" s="27">
        <v>12</v>
      </c>
      <c r="F15" s="27">
        <v>10</v>
      </c>
      <c r="G15" s="39" t="s">
        <v>109</v>
      </c>
      <c r="H15" s="27" t="str">
        <f t="shared" si="0"/>
        <v>Data</v>
      </c>
      <c r="I15" s="27">
        <f>0</f>
        <v>0</v>
      </c>
      <c r="J15" s="27" t="str">
        <f t="shared" si="1"/>
        <v>workout_step</v>
      </c>
      <c r="N15" s="36" t="str">
        <f>IF(VLOOKUP(Data[[#This Row],[Duration Type]],Table_Duration_Type[],3,FALSE)="/","",VLOOKUP(Data[[#This Row],[Duration Type]],Table_Duration_Type[],3,FALSE))</f>
        <v>duration_reps</v>
      </c>
      <c r="O15" s="36">
        <f>IF(N15&lt;&gt;"",IF(N15='Reference Lists'!$C$2,SUBSTITUTE(TEXT(Data[[#This Row],[Duration Value]],"0,0"),",","."),Data[[#This Row],[Duration Value]]),"")</f>
        <v>12</v>
      </c>
      <c r="P15" s="36" t="str">
        <f t="shared" si="34"/>
        <v>XXX</v>
      </c>
      <c r="Q15" s="36" t="s">
        <v>42</v>
      </c>
      <c r="R15" s="36">
        <f>0</f>
        <v>0</v>
      </c>
      <c r="S15" s="36" t="str">
        <f t="shared" si="35"/>
        <v>XXX</v>
      </c>
      <c r="Z15" s="36" t="str">
        <f t="shared" si="36"/>
        <v>notes</v>
      </c>
      <c r="AA15" s="36" t="str">
        <f>IF(Data[[#This Row],[Notes]]="","",_xlfn.CONCAT("""",SUBSTITUTE(Data[[#This Row],[Notes]],CHAR(10),"%breakline%"),""""))</f>
        <v>"Rétraction scapulaire%breakline%Expirer en montant%breakline%Inspirer en descendant"</v>
      </c>
      <c r="AB15" s="36" t="str">
        <f t="shared" si="37"/>
        <v>XXX</v>
      </c>
      <c r="AC15" s="27" t="s">
        <v>37</v>
      </c>
      <c r="AD15" s="36">
        <f>Data[[#This Row],[Step n°]]-1</f>
        <v>9</v>
      </c>
      <c r="AE15" s="36" t="str">
        <f t="shared" si="38"/>
        <v>XXX</v>
      </c>
      <c r="AF15" s="36" t="str">
        <f t="shared" si="39"/>
        <v>exercise_category</v>
      </c>
      <c r="AG15" s="36">
        <f>IF(_xlfn.IFNA(VLOOKUP(Data[[#This Row],[Exercise]],Table_Exercises[],2,FALSE),"")="","",_xlfn.IFNA(VLOOKUP(Data[[#This Row],[Exercise]],Table_Exercises[],2,FALSE),""))</f>
        <v>0</v>
      </c>
      <c r="AH15" s="36" t="str">
        <f t="shared" si="40"/>
        <v>XXX</v>
      </c>
      <c r="AI15" s="37" t="str">
        <f t="shared" si="41"/>
        <v>exercise_name</v>
      </c>
      <c r="AJ15" s="36">
        <f>_xlfn.IFNA(IF(VLOOKUP(Data[[#This Row],[Exercise]],Table_Exercises[],3,FALSE)="/","",VLOOKUP(Data[[#This Row],[Exercise]],Table_Exercises[],3,FALSE)),"")</f>
        <v>6</v>
      </c>
      <c r="AK15" s="36" t="str">
        <f t="shared" si="42"/>
        <v>XXX</v>
      </c>
      <c r="AL15" s="27" t="str">
        <f>IF(OR(Data[[#This Row],[Weight]]="",Data[[#This Row],[Weight]]=0),"","exercise_weight")</f>
        <v>exercise_weight</v>
      </c>
      <c r="AM15" s="38" t="str">
        <f>IF(OR(Data[[#This Row],[Weight]]="",Data[[#This Row],[Weight]]=0),"",SUBSTITUTE(TEXT(Data[[#This Row],[Weight]],"0,0"),",","."))</f>
        <v>10.0</v>
      </c>
      <c r="AN15" s="36" t="str">
        <f t="shared" si="43"/>
        <v>XXX</v>
      </c>
      <c r="AO15" s="27" t="str">
        <f t="shared" si="44"/>
        <v>weight_display_unit</v>
      </c>
      <c r="AP15" s="38">
        <f t="shared" si="45"/>
        <v>1</v>
      </c>
      <c r="AQ15" s="36" t="str">
        <f t="shared" si="46"/>
        <v>XXX</v>
      </c>
      <c r="AR15" s="27" t="s">
        <v>39</v>
      </c>
      <c r="AS15" s="36">
        <f>VLOOKUP(Data[[#This Row],[Duration Type]],Table_Duration_Type[],2,FALSE)</f>
        <v>29</v>
      </c>
      <c r="AT15" s="36" t="str">
        <f t="shared" si="47"/>
        <v>XXX</v>
      </c>
      <c r="AU15" s="27" t="s">
        <v>41</v>
      </c>
      <c r="AV15" s="36">
        <f>2</f>
        <v>2</v>
      </c>
      <c r="AW15" s="36" t="str">
        <f t="shared" si="48"/>
        <v>XXX</v>
      </c>
      <c r="AX15" s="27" t="s">
        <v>43</v>
      </c>
      <c r="AY15" s="36">
        <f>VLOOKUP(Data[[#This Row],[Set Type]],Table_Intensity[],2,FALSE)</f>
        <v>0</v>
      </c>
      <c r="AZ15" s="36" t="str">
        <f t="shared" si="49"/>
        <v>XXX</v>
      </c>
      <c r="BA15" s="27" t="s">
        <v>152</v>
      </c>
      <c r="BB15" s="27" t="s">
        <v>152</v>
      </c>
      <c r="BC15" s="27" t="s">
        <v>152</v>
      </c>
      <c r="BD15" s="28" t="str">
        <f>IF(Data[[#This Row],[DataCol1]]&lt;&gt;"",SUBSTITUTE(_xlfn.TEXTJOIN(",",TRUE,Data[[#This Row],[DataCol1]:[DataCol48]]),"XXX",""),"")</f>
        <v>Data,0,workout_step,duration_reps,12,,target_value,0,,notes,"Rétraction scapulaire%breakline%Expirer en montant%breakline%Inspirer en descendant",,message_index,9,,exercise_category,0,,exercise_name,6,,exercise_weight,10.0,,weight_display_unit,1,,duration_type,29,,target_type,2,,intensity,0,,,,</v>
      </c>
    </row>
    <row r="16" spans="1:56" x14ac:dyDescent="0.25">
      <c r="A16" s="27">
        <v>11</v>
      </c>
      <c r="B16" s="42" t="s">
        <v>65</v>
      </c>
      <c r="C16" s="35"/>
      <c r="D16" s="27" t="s">
        <v>61</v>
      </c>
      <c r="E16" s="27">
        <v>90</v>
      </c>
      <c r="H16" s="27" t="str">
        <f t="shared" si="0"/>
        <v>Data</v>
      </c>
      <c r="I16" s="27">
        <f>0</f>
        <v>0</v>
      </c>
      <c r="J16" s="27" t="str">
        <f t="shared" si="1"/>
        <v>workout_step</v>
      </c>
      <c r="N16" s="36" t="str">
        <f>IF(VLOOKUP(Data[[#This Row],[Duration Type]],Table_Duration_Type[],3,FALSE)="/","",VLOOKUP(Data[[#This Row],[Duration Type]],Table_Duration_Type[],3,FALSE))</f>
        <v>duration_time</v>
      </c>
      <c r="O16" s="36" t="str">
        <f>IF(N16&lt;&gt;"",IF(N16='Reference Lists'!$C$2,SUBSTITUTE(TEXT(Data[[#This Row],[Duration Value]],"0,0"),",","."),Data[[#This Row],[Duration Value]]),"")</f>
        <v>90.0</v>
      </c>
      <c r="P16" s="36" t="str">
        <f t="shared" si="34"/>
        <v>XXX</v>
      </c>
      <c r="Q16" s="36" t="s">
        <v>42</v>
      </c>
      <c r="R16" s="36">
        <f>0</f>
        <v>0</v>
      </c>
      <c r="S16" s="36" t="str">
        <f t="shared" si="35"/>
        <v>XXX</v>
      </c>
      <c r="Z16" s="36" t="str">
        <f t="shared" si="36"/>
        <v/>
      </c>
      <c r="AA16" s="36" t="str">
        <f>IF(Data[[#This Row],[Notes]]="","",_xlfn.CONCAT("""",SUBSTITUTE(Data[[#This Row],[Notes]],CHAR(10),"%breakline%"),""""))</f>
        <v/>
      </c>
      <c r="AB16" s="36" t="str">
        <f t="shared" si="37"/>
        <v/>
      </c>
      <c r="AC16" s="27" t="s">
        <v>37</v>
      </c>
      <c r="AD16" s="36">
        <f>Data[[#This Row],[Step n°]]-1</f>
        <v>10</v>
      </c>
      <c r="AE16" s="36" t="str">
        <f t="shared" si="38"/>
        <v>XXX</v>
      </c>
      <c r="AF16" s="36" t="str">
        <f t="shared" si="39"/>
        <v/>
      </c>
      <c r="AG16" s="36" t="str">
        <f>IF(_xlfn.IFNA(VLOOKUP(Data[[#This Row],[Exercise]],Table_Exercises[],2,FALSE),"")="","",_xlfn.IFNA(VLOOKUP(Data[[#This Row],[Exercise]],Table_Exercises[],2,FALSE),""))</f>
        <v/>
      </c>
      <c r="AH16" s="36" t="str">
        <f t="shared" si="40"/>
        <v/>
      </c>
      <c r="AI16" s="37" t="str">
        <f t="shared" si="41"/>
        <v/>
      </c>
      <c r="AJ16" s="36" t="str">
        <f>_xlfn.IFNA(IF(VLOOKUP(Data[[#This Row],[Exercise]],Table_Exercises[],3,FALSE)="/","",VLOOKUP(Data[[#This Row],[Exercise]],Table_Exercises[],3,FALSE)),"")</f>
        <v/>
      </c>
      <c r="AK16" s="36" t="str">
        <f t="shared" si="42"/>
        <v/>
      </c>
      <c r="AL16" s="27" t="str">
        <f>IF(OR(Data[[#This Row],[Weight]]="",Data[[#This Row],[Weight]]=0),"","exercise_weight")</f>
        <v/>
      </c>
      <c r="AM16" s="38" t="str">
        <f>IF(OR(Data[[#This Row],[Weight]]="",Data[[#This Row],[Weight]]=0),"",SUBSTITUTE(TEXT(Data[[#This Row],[Weight]],"0,0"),",","."))</f>
        <v/>
      </c>
      <c r="AN16" s="36" t="str">
        <f t="shared" si="43"/>
        <v/>
      </c>
      <c r="AO16" s="27" t="str">
        <f t="shared" si="44"/>
        <v/>
      </c>
      <c r="AP16" s="38" t="str">
        <f t="shared" si="45"/>
        <v/>
      </c>
      <c r="AQ16" s="36" t="str">
        <f t="shared" si="46"/>
        <v/>
      </c>
      <c r="AR16" s="27" t="s">
        <v>39</v>
      </c>
      <c r="AS16" s="36">
        <f>VLOOKUP(Data[[#This Row],[Duration Type]],Table_Duration_Type[],2,FALSE)</f>
        <v>0</v>
      </c>
      <c r="AT16" s="36" t="str">
        <f t="shared" si="47"/>
        <v>XXX</v>
      </c>
      <c r="AU16" s="27" t="s">
        <v>41</v>
      </c>
      <c r="AV16" s="36">
        <f>2</f>
        <v>2</v>
      </c>
      <c r="AW16" s="36" t="str">
        <f t="shared" si="48"/>
        <v>XXX</v>
      </c>
      <c r="AX16" s="27" t="s">
        <v>43</v>
      </c>
      <c r="AY16" s="36">
        <f>VLOOKUP(Data[[#This Row],[Set Type]],Table_Intensity[],2,FALSE)</f>
        <v>1</v>
      </c>
      <c r="AZ16" s="36" t="str">
        <f t="shared" si="49"/>
        <v>XXX</v>
      </c>
      <c r="BA16" s="27" t="s">
        <v>152</v>
      </c>
      <c r="BB16" s="27" t="s">
        <v>152</v>
      </c>
      <c r="BC16" s="27" t="s">
        <v>152</v>
      </c>
      <c r="BD16" s="28" t="str">
        <f>IF(Data[[#This Row],[DataCol1]]&lt;&gt;"",SUBSTITUTE(_xlfn.TEXTJOIN(",",TRUE,Data[[#This Row],[DataCol1]:[DataCol48]]),"XXX",""),"")</f>
        <v>Data,0,workout_step,duration_time,90.0,,target_value,0,,message_index,10,,duration_type,0,,target_type,2,,intensity,1,,,,</v>
      </c>
    </row>
    <row r="17" spans="1:56" ht="45" x14ac:dyDescent="0.25">
      <c r="A17" s="27">
        <v>12</v>
      </c>
      <c r="B17" s="42" t="s">
        <v>105</v>
      </c>
      <c r="C17" s="35" t="s">
        <v>251</v>
      </c>
      <c r="D17" s="27" t="s">
        <v>62</v>
      </c>
      <c r="E17" s="27">
        <v>8</v>
      </c>
      <c r="F17" s="27">
        <v>4</v>
      </c>
      <c r="G17" s="39" t="s">
        <v>109</v>
      </c>
      <c r="H17" s="27" t="str">
        <f t="shared" si="0"/>
        <v>Data</v>
      </c>
      <c r="I17" s="27">
        <f>0</f>
        <v>0</v>
      </c>
      <c r="J17" s="27" t="str">
        <f t="shared" si="1"/>
        <v>workout_step</v>
      </c>
      <c r="N17" s="36" t="str">
        <f>IF(VLOOKUP(Data[[#This Row],[Duration Type]],Table_Duration_Type[],3,FALSE)="/","",VLOOKUP(Data[[#This Row],[Duration Type]],Table_Duration_Type[],3,FALSE))</f>
        <v>duration_reps</v>
      </c>
      <c r="O17" s="36">
        <f>IF(N17&lt;&gt;"",IF(N17='Reference Lists'!$C$2,SUBSTITUTE(TEXT(Data[[#This Row],[Duration Value]],"0,0"),",","."),Data[[#This Row],[Duration Value]]),"")</f>
        <v>8</v>
      </c>
      <c r="P17" s="36" t="str">
        <f t="shared" si="34"/>
        <v>XXX</v>
      </c>
      <c r="Q17" s="36" t="s">
        <v>42</v>
      </c>
      <c r="R17" s="36">
        <f>0</f>
        <v>0</v>
      </c>
      <c r="S17" s="36" t="str">
        <f t="shared" si="35"/>
        <v>XXX</v>
      </c>
      <c r="Z17" s="36" t="str">
        <f t="shared" si="36"/>
        <v>notes</v>
      </c>
      <c r="AA17" s="36" t="str">
        <f>IF(Data[[#This Row],[Notes]]="","",_xlfn.CONCAT("""",SUBSTITUTE(Data[[#This Row],[Notes]],CHAR(10),"%breakline%"),""""))</f>
        <v>"Rétraction scapulaire%breakline%Expirer en montant%breakline%Inspirer en descendant"</v>
      </c>
      <c r="AB17" s="36" t="str">
        <f t="shared" si="37"/>
        <v>XXX</v>
      </c>
      <c r="AC17" s="27" t="s">
        <v>37</v>
      </c>
      <c r="AD17" s="36">
        <f>Data[[#This Row],[Step n°]]-1</f>
        <v>11</v>
      </c>
      <c r="AE17" s="36" t="str">
        <f t="shared" si="38"/>
        <v>XXX</v>
      </c>
      <c r="AF17" s="36" t="str">
        <f t="shared" si="39"/>
        <v>exercise_category</v>
      </c>
      <c r="AG17" s="36">
        <f>IF(_xlfn.IFNA(VLOOKUP(Data[[#This Row],[Exercise]],Table_Exercises[],2,FALSE),"")="","",_xlfn.IFNA(VLOOKUP(Data[[#This Row],[Exercise]],Table_Exercises[],2,FALSE),""))</f>
        <v>30</v>
      </c>
      <c r="AH17" s="36" t="str">
        <f t="shared" si="40"/>
        <v>XXX</v>
      </c>
      <c r="AI17" s="37" t="str">
        <f t="shared" si="41"/>
        <v>exercise_name</v>
      </c>
      <c r="AJ17" s="36">
        <f>_xlfn.IFNA(IF(VLOOKUP(Data[[#This Row],[Exercise]],Table_Exercises[],3,FALSE)="/","",VLOOKUP(Data[[#This Row],[Exercise]],Table_Exercises[],3,FALSE)),"")</f>
        <v>12</v>
      </c>
      <c r="AK17" s="36" t="str">
        <f t="shared" si="42"/>
        <v>XXX</v>
      </c>
      <c r="AL17" s="27" t="str">
        <f>IF(OR(Data[[#This Row],[Weight]]="",Data[[#This Row],[Weight]]=0),"","exercise_weight")</f>
        <v>exercise_weight</v>
      </c>
      <c r="AM17" s="38" t="str">
        <f>IF(OR(Data[[#This Row],[Weight]]="",Data[[#This Row],[Weight]]=0),"",SUBSTITUTE(TEXT(Data[[#This Row],[Weight]],"0,0"),",","."))</f>
        <v>4.0</v>
      </c>
      <c r="AN17" s="36" t="str">
        <f t="shared" si="43"/>
        <v>XXX</v>
      </c>
      <c r="AO17" s="27" t="str">
        <f t="shared" si="44"/>
        <v>weight_display_unit</v>
      </c>
      <c r="AP17" s="38">
        <f t="shared" si="45"/>
        <v>1</v>
      </c>
      <c r="AQ17" s="36" t="str">
        <f t="shared" si="46"/>
        <v>XXX</v>
      </c>
      <c r="AR17" s="27" t="s">
        <v>39</v>
      </c>
      <c r="AS17" s="36">
        <f>VLOOKUP(Data[[#This Row],[Duration Type]],Table_Duration_Type[],2,FALSE)</f>
        <v>29</v>
      </c>
      <c r="AT17" s="36" t="str">
        <f t="shared" si="47"/>
        <v>XXX</v>
      </c>
      <c r="AU17" s="27" t="s">
        <v>41</v>
      </c>
      <c r="AV17" s="36">
        <f>2</f>
        <v>2</v>
      </c>
      <c r="AW17" s="36" t="str">
        <f t="shared" si="48"/>
        <v>XXX</v>
      </c>
      <c r="AX17" s="27" t="s">
        <v>43</v>
      </c>
      <c r="AY17" s="36">
        <f>VLOOKUP(Data[[#This Row],[Set Type]],Table_Intensity[],2,FALSE)</f>
        <v>2</v>
      </c>
      <c r="AZ17" s="36" t="str">
        <f t="shared" si="49"/>
        <v>XXX</v>
      </c>
      <c r="BA17" s="27" t="s">
        <v>152</v>
      </c>
      <c r="BB17" s="27" t="s">
        <v>152</v>
      </c>
      <c r="BC17" s="27" t="s">
        <v>152</v>
      </c>
      <c r="BD17" s="28" t="str">
        <f>IF(Data[[#This Row],[DataCol1]]&lt;&gt;"",SUBSTITUTE(_xlfn.TEXTJOIN(",",TRUE,Data[[#This Row],[DataCol1]:[DataCol48]]),"XXX",""),"")</f>
        <v>Data,0,workout_step,duration_reps,8,,target_value,0,,notes,"Rétraction scapulaire%breakline%Expirer en montant%breakline%Inspirer en descendant",,message_index,11,,exercise_category,30,,exercise_name,12,,exercise_weight,4.0,,weight_display_unit,1,,duration_type,29,,target_type,2,,intensity,2,,,,</v>
      </c>
    </row>
    <row r="18" spans="1:56" x14ac:dyDescent="0.25">
      <c r="A18" s="27">
        <v>13</v>
      </c>
      <c r="B18" s="42" t="s">
        <v>65</v>
      </c>
      <c r="C18" s="35"/>
      <c r="D18" s="27" t="s">
        <v>79</v>
      </c>
      <c r="H18" s="27" t="str">
        <f t="shared" si="0"/>
        <v>Data</v>
      </c>
      <c r="I18" s="27">
        <f>0</f>
        <v>0</v>
      </c>
      <c r="J18" s="27" t="str">
        <f t="shared" si="1"/>
        <v>workout_step</v>
      </c>
      <c r="N18" s="36" t="str">
        <f>IF(VLOOKUP(Data[[#This Row],[Duration Type]],Table_Duration_Type[],3,FALSE)="/","",VLOOKUP(Data[[#This Row],[Duration Type]],Table_Duration_Type[],3,FALSE))</f>
        <v/>
      </c>
      <c r="O18" s="36" t="str">
        <f>IF(N18&lt;&gt;"",IF(N18='Reference Lists'!$C$2,SUBSTITUTE(TEXT(Data[[#This Row],[Duration Value]],"0,0"),",","."),Data[[#This Row],[Duration Value]]),"")</f>
        <v/>
      </c>
      <c r="P18" s="36" t="str">
        <f t="shared" si="34"/>
        <v/>
      </c>
      <c r="Q18" s="36" t="s">
        <v>42</v>
      </c>
      <c r="R18" s="36">
        <f>0</f>
        <v>0</v>
      </c>
      <c r="S18" s="36" t="str">
        <f t="shared" si="35"/>
        <v>XXX</v>
      </c>
      <c r="Z18" s="36" t="str">
        <f t="shared" si="36"/>
        <v/>
      </c>
      <c r="AA18" s="36" t="str">
        <f>IF(Data[[#This Row],[Notes]]="","",_xlfn.CONCAT("""",SUBSTITUTE(Data[[#This Row],[Notes]],CHAR(10),"%breakline%"),""""))</f>
        <v/>
      </c>
      <c r="AB18" s="36" t="str">
        <f t="shared" si="37"/>
        <v/>
      </c>
      <c r="AC18" s="27" t="s">
        <v>37</v>
      </c>
      <c r="AD18" s="36">
        <f>Data[[#This Row],[Step n°]]-1</f>
        <v>12</v>
      </c>
      <c r="AE18" s="36" t="str">
        <f t="shared" si="38"/>
        <v>XXX</v>
      </c>
      <c r="AF18" s="36" t="str">
        <f t="shared" si="39"/>
        <v/>
      </c>
      <c r="AG18" s="36" t="str">
        <f>IF(_xlfn.IFNA(VLOOKUP(Data[[#This Row],[Exercise]],Table_Exercises[],2,FALSE),"")="","",_xlfn.IFNA(VLOOKUP(Data[[#This Row],[Exercise]],Table_Exercises[],2,FALSE),""))</f>
        <v/>
      </c>
      <c r="AH18" s="36" t="str">
        <f t="shared" si="40"/>
        <v/>
      </c>
      <c r="AI18" s="37" t="str">
        <f t="shared" si="41"/>
        <v/>
      </c>
      <c r="AJ18" s="36" t="str">
        <f>_xlfn.IFNA(IF(VLOOKUP(Data[[#This Row],[Exercise]],Table_Exercises[],3,FALSE)="/","",VLOOKUP(Data[[#This Row],[Exercise]],Table_Exercises[],3,FALSE)),"")</f>
        <v/>
      </c>
      <c r="AK18" s="36" t="str">
        <f t="shared" si="42"/>
        <v/>
      </c>
      <c r="AL18" s="27" t="str">
        <f>IF(OR(Data[[#This Row],[Weight]]="",Data[[#This Row],[Weight]]=0),"","exercise_weight")</f>
        <v/>
      </c>
      <c r="AM18" s="38" t="str">
        <f>IF(OR(Data[[#This Row],[Weight]]="",Data[[#This Row],[Weight]]=0),"",SUBSTITUTE(TEXT(Data[[#This Row],[Weight]],"0,0"),",","."))</f>
        <v/>
      </c>
      <c r="AN18" s="36" t="str">
        <f t="shared" si="43"/>
        <v/>
      </c>
      <c r="AO18" s="27" t="str">
        <f t="shared" si="44"/>
        <v/>
      </c>
      <c r="AP18" s="38" t="str">
        <f t="shared" si="45"/>
        <v/>
      </c>
      <c r="AQ18" s="36" t="str">
        <f t="shared" si="46"/>
        <v/>
      </c>
      <c r="AR18" s="27" t="s">
        <v>39</v>
      </c>
      <c r="AS18" s="36">
        <f>VLOOKUP(Data[[#This Row],[Duration Type]],Table_Duration_Type[],2,FALSE)</f>
        <v>5</v>
      </c>
      <c r="AT18" s="36" t="str">
        <f t="shared" si="47"/>
        <v>XXX</v>
      </c>
      <c r="AU18" s="27" t="s">
        <v>41</v>
      </c>
      <c r="AV18" s="36">
        <f>2</f>
        <v>2</v>
      </c>
      <c r="AW18" s="36" t="str">
        <f t="shared" si="48"/>
        <v>XXX</v>
      </c>
      <c r="AX18" s="27" t="s">
        <v>43</v>
      </c>
      <c r="AY18" s="36">
        <f>VLOOKUP(Data[[#This Row],[Set Type]],Table_Intensity[],2,FALSE)</f>
        <v>1</v>
      </c>
      <c r="AZ18" s="36" t="str">
        <f t="shared" si="49"/>
        <v>XXX</v>
      </c>
      <c r="BA18" s="27" t="s">
        <v>152</v>
      </c>
      <c r="BB18" s="27" t="s">
        <v>152</v>
      </c>
      <c r="BC18" s="27" t="s">
        <v>152</v>
      </c>
      <c r="BD18" s="28" t="str">
        <f>IF(Data[[#This Row],[DataCol1]]&lt;&gt;"",SUBSTITUTE(_xlfn.TEXTJOIN(",",TRUE,Data[[#This Row],[DataCol1]:[DataCol48]]),"XXX",""),"")</f>
        <v>Data,0,workout_step,target_value,0,,message_index,12,,duration_type,5,,target_type,2,,intensity,1,,,,</v>
      </c>
    </row>
    <row r="19" spans="1:56" ht="45" x14ac:dyDescent="0.25">
      <c r="A19" s="27">
        <v>14</v>
      </c>
      <c r="B19" s="42" t="s">
        <v>64</v>
      </c>
      <c r="C19" s="35" t="s">
        <v>251</v>
      </c>
      <c r="D19" s="27" t="s">
        <v>62</v>
      </c>
      <c r="E19" s="27">
        <v>16</v>
      </c>
      <c r="F19" s="27">
        <v>6</v>
      </c>
      <c r="G19" s="39" t="s">
        <v>109</v>
      </c>
      <c r="H19" s="27" t="str">
        <f t="shared" si="0"/>
        <v>Data</v>
      </c>
      <c r="I19" s="27">
        <f>0</f>
        <v>0</v>
      </c>
      <c r="J19" s="27" t="str">
        <f t="shared" si="1"/>
        <v>workout_step</v>
      </c>
      <c r="N19" s="36" t="str">
        <f>IF(VLOOKUP(Data[[#This Row],[Duration Type]],Table_Duration_Type[],3,FALSE)="/","",VLOOKUP(Data[[#This Row],[Duration Type]],Table_Duration_Type[],3,FALSE))</f>
        <v>duration_reps</v>
      </c>
      <c r="O19" s="36">
        <f>IF(N19&lt;&gt;"",IF(N19='Reference Lists'!$C$2,SUBSTITUTE(TEXT(Data[[#This Row],[Duration Value]],"0,0"),",","."),Data[[#This Row],[Duration Value]]),"")</f>
        <v>16</v>
      </c>
      <c r="P19" s="36" t="str">
        <f t="shared" si="34"/>
        <v>XXX</v>
      </c>
      <c r="Q19" s="36" t="s">
        <v>42</v>
      </c>
      <c r="R19" s="36">
        <f>0</f>
        <v>0</v>
      </c>
      <c r="S19" s="36" t="str">
        <f t="shared" si="35"/>
        <v>XXX</v>
      </c>
      <c r="Z19" s="36" t="str">
        <f t="shared" si="36"/>
        <v>notes</v>
      </c>
      <c r="AA19" s="36" t="str">
        <f>IF(Data[[#This Row],[Notes]]="","",_xlfn.CONCAT("""",SUBSTITUTE(Data[[#This Row],[Notes]],CHAR(10),"%breakline%"),""""))</f>
        <v>"Rétraction scapulaire%breakline%Expirer en montant%breakline%Inspirer en descendant"</v>
      </c>
      <c r="AB19" s="36" t="str">
        <f t="shared" si="37"/>
        <v>XXX</v>
      </c>
      <c r="AC19" s="27" t="s">
        <v>37</v>
      </c>
      <c r="AD19" s="36">
        <f>Data[[#This Row],[Step n°]]-1</f>
        <v>13</v>
      </c>
      <c r="AE19" s="36" t="str">
        <f t="shared" si="38"/>
        <v>XXX</v>
      </c>
      <c r="AF19" s="36" t="str">
        <f t="shared" si="39"/>
        <v>exercise_category</v>
      </c>
      <c r="AG19" s="36">
        <f>IF(_xlfn.IFNA(VLOOKUP(Data[[#This Row],[Exercise]],Table_Exercises[],2,FALSE),"")="","",_xlfn.IFNA(VLOOKUP(Data[[#This Row],[Exercise]],Table_Exercises[],2,FALSE),""))</f>
        <v>30</v>
      </c>
      <c r="AH19" s="36" t="str">
        <f t="shared" si="40"/>
        <v>XXX</v>
      </c>
      <c r="AI19" s="37" t="str">
        <f t="shared" si="41"/>
        <v>exercise_name</v>
      </c>
      <c r="AJ19" s="36">
        <f>_xlfn.IFNA(IF(VLOOKUP(Data[[#This Row],[Exercise]],Table_Exercises[],3,FALSE)="/","",VLOOKUP(Data[[#This Row],[Exercise]],Table_Exercises[],3,FALSE)),"")</f>
        <v>12</v>
      </c>
      <c r="AK19" s="36" t="str">
        <f t="shared" si="42"/>
        <v>XXX</v>
      </c>
      <c r="AL19" s="27" t="str">
        <f>IF(OR(Data[[#This Row],[Weight]]="",Data[[#This Row],[Weight]]=0),"","exercise_weight")</f>
        <v>exercise_weight</v>
      </c>
      <c r="AM19" s="38" t="str">
        <f>IF(OR(Data[[#This Row],[Weight]]="",Data[[#This Row],[Weight]]=0),"",SUBSTITUTE(TEXT(Data[[#This Row],[Weight]],"0,0"),",","."))</f>
        <v>6.0</v>
      </c>
      <c r="AN19" s="36" t="str">
        <f t="shared" si="43"/>
        <v>XXX</v>
      </c>
      <c r="AO19" s="27" t="str">
        <f t="shared" si="44"/>
        <v>weight_display_unit</v>
      </c>
      <c r="AP19" s="38">
        <f t="shared" si="45"/>
        <v>1</v>
      </c>
      <c r="AQ19" s="36" t="str">
        <f t="shared" si="46"/>
        <v>XXX</v>
      </c>
      <c r="AR19" s="27" t="s">
        <v>39</v>
      </c>
      <c r="AS19" s="36">
        <f>VLOOKUP(Data[[#This Row],[Duration Type]],Table_Duration_Type[],2,FALSE)</f>
        <v>29</v>
      </c>
      <c r="AT19" s="36" t="str">
        <f t="shared" si="47"/>
        <v>XXX</v>
      </c>
      <c r="AU19" s="27" t="s">
        <v>41</v>
      </c>
      <c r="AV19" s="36">
        <f>2</f>
        <v>2</v>
      </c>
      <c r="AW19" s="36" t="str">
        <f t="shared" si="48"/>
        <v>XXX</v>
      </c>
      <c r="AX19" s="27" t="s">
        <v>43</v>
      </c>
      <c r="AY19" s="36">
        <f>VLOOKUP(Data[[#This Row],[Set Type]],Table_Intensity[],2,FALSE)</f>
        <v>0</v>
      </c>
      <c r="AZ19" s="36" t="str">
        <f t="shared" si="49"/>
        <v>XXX</v>
      </c>
      <c r="BA19" s="27" t="s">
        <v>152</v>
      </c>
      <c r="BB19" s="27" t="s">
        <v>152</v>
      </c>
      <c r="BC19" s="27" t="s">
        <v>152</v>
      </c>
      <c r="BD19" s="28" t="str">
        <f>IF(Data[[#This Row],[DataCol1]]&lt;&gt;"",SUBSTITUTE(_xlfn.TEXTJOIN(",",TRUE,Data[[#This Row],[DataCol1]:[DataCol48]]),"XXX",""),"")</f>
        <v>Data,0,workout_step,duration_reps,16,,target_value,0,,notes,"Rétraction scapulaire%breakline%Expirer en montant%breakline%Inspirer en descendant",,message_index,13,,exercise_category,30,,exercise_name,12,,exercise_weight,6.0,,weight_display_unit,1,,duration_type,29,,target_type,2,,intensity,0,,,,</v>
      </c>
    </row>
    <row r="20" spans="1:56" x14ac:dyDescent="0.25">
      <c r="A20" s="27">
        <v>15</v>
      </c>
      <c r="B20" s="42" t="s">
        <v>65</v>
      </c>
      <c r="C20" s="35"/>
      <c r="D20" s="27" t="s">
        <v>61</v>
      </c>
      <c r="E20" s="27">
        <v>60</v>
      </c>
      <c r="H20" s="27" t="str">
        <f t="shared" si="0"/>
        <v>Data</v>
      </c>
      <c r="I20" s="27">
        <f>0</f>
        <v>0</v>
      </c>
      <c r="J20" s="27" t="str">
        <f t="shared" si="1"/>
        <v>workout_step</v>
      </c>
      <c r="N20" s="36" t="str">
        <f>IF(VLOOKUP(Data[[#This Row],[Duration Type]],Table_Duration_Type[],3,FALSE)="/","",VLOOKUP(Data[[#This Row],[Duration Type]],Table_Duration_Type[],3,FALSE))</f>
        <v>duration_time</v>
      </c>
      <c r="O20" s="36" t="str">
        <f>IF(N20&lt;&gt;"",IF(N20='Reference Lists'!$C$2,SUBSTITUTE(TEXT(Data[[#This Row],[Duration Value]],"0,0"),",","."),Data[[#This Row],[Duration Value]]),"")</f>
        <v>60.0</v>
      </c>
      <c r="P20" s="36" t="str">
        <f t="shared" si="34"/>
        <v>XXX</v>
      </c>
      <c r="Q20" s="36" t="s">
        <v>42</v>
      </c>
      <c r="R20" s="36">
        <f>0</f>
        <v>0</v>
      </c>
      <c r="S20" s="36" t="str">
        <f t="shared" si="35"/>
        <v>XXX</v>
      </c>
      <c r="Z20" s="36" t="str">
        <f t="shared" si="36"/>
        <v/>
      </c>
      <c r="AA20" s="36" t="str">
        <f>IF(Data[[#This Row],[Notes]]="","",_xlfn.CONCAT("""",SUBSTITUTE(Data[[#This Row],[Notes]],CHAR(10),"%breakline%"),""""))</f>
        <v/>
      </c>
      <c r="AB20" s="36" t="str">
        <f t="shared" si="37"/>
        <v/>
      </c>
      <c r="AC20" s="27" t="s">
        <v>37</v>
      </c>
      <c r="AD20" s="36">
        <f>Data[[#This Row],[Step n°]]-1</f>
        <v>14</v>
      </c>
      <c r="AE20" s="36" t="str">
        <f t="shared" si="38"/>
        <v>XXX</v>
      </c>
      <c r="AF20" s="36" t="str">
        <f t="shared" si="39"/>
        <v/>
      </c>
      <c r="AG20" s="36" t="str">
        <f>IF(_xlfn.IFNA(VLOOKUP(Data[[#This Row],[Exercise]],Table_Exercises[],2,FALSE),"")="","",_xlfn.IFNA(VLOOKUP(Data[[#This Row],[Exercise]],Table_Exercises[],2,FALSE),""))</f>
        <v/>
      </c>
      <c r="AH20" s="36" t="str">
        <f t="shared" si="40"/>
        <v/>
      </c>
      <c r="AI20" s="37" t="str">
        <f t="shared" si="41"/>
        <v/>
      </c>
      <c r="AJ20" s="36" t="str">
        <f>_xlfn.IFNA(IF(VLOOKUP(Data[[#This Row],[Exercise]],Table_Exercises[],3,FALSE)="/","",VLOOKUP(Data[[#This Row],[Exercise]],Table_Exercises[],3,FALSE)),"")</f>
        <v/>
      </c>
      <c r="AK20" s="36" t="str">
        <f t="shared" si="42"/>
        <v/>
      </c>
      <c r="AL20" s="27" t="str">
        <f>IF(OR(Data[[#This Row],[Weight]]="",Data[[#This Row],[Weight]]=0),"","exercise_weight")</f>
        <v/>
      </c>
      <c r="AM20" s="38" t="str">
        <f>IF(OR(Data[[#This Row],[Weight]]="",Data[[#This Row],[Weight]]=0),"",SUBSTITUTE(TEXT(Data[[#This Row],[Weight]],"0,0"),",","."))</f>
        <v/>
      </c>
      <c r="AN20" s="36" t="str">
        <f t="shared" si="43"/>
        <v/>
      </c>
      <c r="AO20" s="27" t="str">
        <f t="shared" si="44"/>
        <v/>
      </c>
      <c r="AP20" s="38" t="str">
        <f t="shared" si="45"/>
        <v/>
      </c>
      <c r="AQ20" s="36" t="str">
        <f t="shared" si="46"/>
        <v/>
      </c>
      <c r="AR20" s="27" t="s">
        <v>39</v>
      </c>
      <c r="AS20" s="36">
        <f>VLOOKUP(Data[[#This Row],[Duration Type]],Table_Duration_Type[],2,FALSE)</f>
        <v>0</v>
      </c>
      <c r="AT20" s="36" t="str">
        <f t="shared" si="47"/>
        <v>XXX</v>
      </c>
      <c r="AU20" s="27" t="s">
        <v>41</v>
      </c>
      <c r="AV20" s="36">
        <f>2</f>
        <v>2</v>
      </c>
      <c r="AW20" s="36" t="str">
        <f t="shared" si="48"/>
        <v>XXX</v>
      </c>
      <c r="AX20" s="27" t="s">
        <v>43</v>
      </c>
      <c r="AY20" s="36">
        <f>VLOOKUP(Data[[#This Row],[Set Type]],Table_Intensity[],2,FALSE)</f>
        <v>1</v>
      </c>
      <c r="AZ20" s="36" t="str">
        <f t="shared" si="49"/>
        <v>XXX</v>
      </c>
      <c r="BA20" s="27" t="s">
        <v>152</v>
      </c>
      <c r="BB20" s="27" t="s">
        <v>152</v>
      </c>
      <c r="BC20" s="27" t="s">
        <v>152</v>
      </c>
      <c r="BD20" s="28" t="str">
        <f>IF(Data[[#This Row],[DataCol1]]&lt;&gt;"",SUBSTITUTE(_xlfn.TEXTJOIN(",",TRUE,Data[[#This Row],[DataCol1]:[DataCol48]]),"XXX",""),"")</f>
        <v>Data,0,workout_step,duration_time,60.0,,target_value,0,,message_index,14,,duration_type,0,,target_type,2,,intensity,1,,,,</v>
      </c>
    </row>
    <row r="21" spans="1:56" ht="45" x14ac:dyDescent="0.25">
      <c r="A21" s="27">
        <v>16</v>
      </c>
      <c r="B21" s="42" t="s">
        <v>64</v>
      </c>
      <c r="C21" s="35" t="s">
        <v>251</v>
      </c>
      <c r="D21" s="27" t="s">
        <v>62</v>
      </c>
      <c r="E21" s="27">
        <v>16</v>
      </c>
      <c r="F21" s="27">
        <v>6</v>
      </c>
      <c r="G21" s="39" t="s">
        <v>109</v>
      </c>
      <c r="H21" s="27" t="str">
        <f t="shared" si="0"/>
        <v>Data</v>
      </c>
      <c r="I21" s="27">
        <f>0</f>
        <v>0</v>
      </c>
      <c r="J21" s="27" t="str">
        <f t="shared" si="1"/>
        <v>workout_step</v>
      </c>
      <c r="N21" s="36" t="str">
        <f>IF(VLOOKUP(Data[[#This Row],[Duration Type]],Table_Duration_Type[],3,FALSE)="/","",VLOOKUP(Data[[#This Row],[Duration Type]],Table_Duration_Type[],3,FALSE))</f>
        <v>duration_reps</v>
      </c>
      <c r="O21" s="36">
        <f>IF(N21&lt;&gt;"",IF(N21='Reference Lists'!$C$2,SUBSTITUTE(TEXT(Data[[#This Row],[Duration Value]],"0,0"),",","."),Data[[#This Row],[Duration Value]]),"")</f>
        <v>16</v>
      </c>
      <c r="P21" s="36" t="str">
        <f t="shared" si="34"/>
        <v>XXX</v>
      </c>
      <c r="Q21" s="36" t="s">
        <v>42</v>
      </c>
      <c r="R21" s="36">
        <f>0</f>
        <v>0</v>
      </c>
      <c r="S21" s="36" t="str">
        <f t="shared" si="35"/>
        <v>XXX</v>
      </c>
      <c r="Z21" s="36" t="str">
        <f t="shared" si="36"/>
        <v>notes</v>
      </c>
      <c r="AA21" s="36" t="str">
        <f>IF(Data[[#This Row],[Notes]]="","",_xlfn.CONCAT("""",SUBSTITUTE(Data[[#This Row],[Notes]],CHAR(10),"%breakline%"),""""))</f>
        <v>"Rétraction scapulaire%breakline%Expirer en montant%breakline%Inspirer en descendant"</v>
      </c>
      <c r="AB21" s="36" t="str">
        <f t="shared" si="37"/>
        <v>XXX</v>
      </c>
      <c r="AC21" s="27" t="s">
        <v>37</v>
      </c>
      <c r="AD21" s="36">
        <f>Data[[#This Row],[Step n°]]-1</f>
        <v>15</v>
      </c>
      <c r="AE21" s="36" t="str">
        <f t="shared" si="38"/>
        <v>XXX</v>
      </c>
      <c r="AF21" s="36" t="str">
        <f t="shared" si="39"/>
        <v>exercise_category</v>
      </c>
      <c r="AG21" s="36">
        <f>IF(_xlfn.IFNA(VLOOKUP(Data[[#This Row],[Exercise]],Table_Exercises[],2,FALSE),"")="","",_xlfn.IFNA(VLOOKUP(Data[[#This Row],[Exercise]],Table_Exercises[],2,FALSE),""))</f>
        <v>30</v>
      </c>
      <c r="AH21" s="36" t="str">
        <f t="shared" si="40"/>
        <v>XXX</v>
      </c>
      <c r="AI21" s="37" t="str">
        <f t="shared" si="41"/>
        <v>exercise_name</v>
      </c>
      <c r="AJ21" s="36">
        <f>_xlfn.IFNA(IF(VLOOKUP(Data[[#This Row],[Exercise]],Table_Exercises[],3,FALSE)="/","",VLOOKUP(Data[[#This Row],[Exercise]],Table_Exercises[],3,FALSE)),"")</f>
        <v>12</v>
      </c>
      <c r="AK21" s="36" t="str">
        <f t="shared" si="42"/>
        <v>XXX</v>
      </c>
      <c r="AL21" s="27" t="str">
        <f>IF(OR(Data[[#This Row],[Weight]]="",Data[[#This Row],[Weight]]=0),"","exercise_weight")</f>
        <v>exercise_weight</v>
      </c>
      <c r="AM21" s="38" t="str">
        <f>IF(OR(Data[[#This Row],[Weight]]="",Data[[#This Row],[Weight]]=0),"",SUBSTITUTE(TEXT(Data[[#This Row],[Weight]],"0,0"),",","."))</f>
        <v>6.0</v>
      </c>
      <c r="AN21" s="36" t="str">
        <f t="shared" si="43"/>
        <v>XXX</v>
      </c>
      <c r="AO21" s="27" t="str">
        <f t="shared" si="44"/>
        <v>weight_display_unit</v>
      </c>
      <c r="AP21" s="38">
        <f t="shared" si="45"/>
        <v>1</v>
      </c>
      <c r="AQ21" s="36" t="str">
        <f t="shared" si="46"/>
        <v>XXX</v>
      </c>
      <c r="AR21" s="27" t="s">
        <v>39</v>
      </c>
      <c r="AS21" s="36">
        <f>VLOOKUP(Data[[#This Row],[Duration Type]],Table_Duration_Type[],2,FALSE)</f>
        <v>29</v>
      </c>
      <c r="AT21" s="36" t="str">
        <f t="shared" si="47"/>
        <v>XXX</v>
      </c>
      <c r="AU21" s="27" t="s">
        <v>41</v>
      </c>
      <c r="AV21" s="36">
        <f>2</f>
        <v>2</v>
      </c>
      <c r="AW21" s="36" t="str">
        <f t="shared" si="48"/>
        <v>XXX</v>
      </c>
      <c r="AX21" s="27" t="s">
        <v>43</v>
      </c>
      <c r="AY21" s="36">
        <f>VLOOKUP(Data[[#This Row],[Set Type]],Table_Intensity[],2,FALSE)</f>
        <v>0</v>
      </c>
      <c r="AZ21" s="36" t="str">
        <f t="shared" si="49"/>
        <v>XXX</v>
      </c>
      <c r="BA21" s="27" t="s">
        <v>152</v>
      </c>
      <c r="BB21" s="27" t="s">
        <v>152</v>
      </c>
      <c r="BC21" s="27" t="s">
        <v>152</v>
      </c>
      <c r="BD21" s="28" t="str">
        <f>IF(Data[[#This Row],[DataCol1]]&lt;&gt;"",SUBSTITUTE(_xlfn.TEXTJOIN(",",TRUE,Data[[#This Row],[DataCol1]:[DataCol48]]),"XXX",""),"")</f>
        <v>Data,0,workout_step,duration_reps,16,,target_value,0,,notes,"Rétraction scapulaire%breakline%Expirer en montant%breakline%Inspirer en descendant",,message_index,15,,exercise_category,30,,exercise_name,12,,exercise_weight,6.0,,weight_display_unit,1,,duration_type,29,,target_type,2,,intensity,0,,,,</v>
      </c>
    </row>
    <row r="22" spans="1:56" x14ac:dyDescent="0.25">
      <c r="A22" s="27">
        <v>17</v>
      </c>
      <c r="B22" s="42" t="s">
        <v>65</v>
      </c>
      <c r="C22" s="35"/>
      <c r="D22" s="27" t="s">
        <v>61</v>
      </c>
      <c r="E22" s="27">
        <v>60</v>
      </c>
      <c r="H22" s="27" t="str">
        <f t="shared" si="0"/>
        <v>Data</v>
      </c>
      <c r="I22" s="27">
        <f>0</f>
        <v>0</v>
      </c>
      <c r="J22" s="27" t="str">
        <f t="shared" si="1"/>
        <v>workout_step</v>
      </c>
      <c r="N22" s="36" t="str">
        <f>IF(VLOOKUP(Data[[#This Row],[Duration Type]],Table_Duration_Type[],3,FALSE)="/","",VLOOKUP(Data[[#This Row],[Duration Type]],Table_Duration_Type[],3,FALSE))</f>
        <v>duration_time</v>
      </c>
      <c r="O22" s="36" t="str">
        <f>IF(N22&lt;&gt;"",IF(N22='Reference Lists'!$C$2,SUBSTITUTE(TEXT(Data[[#This Row],[Duration Value]],"0,0"),",","."),Data[[#This Row],[Duration Value]]),"")</f>
        <v>60.0</v>
      </c>
      <c r="P22" s="36" t="str">
        <f t="shared" si="34"/>
        <v>XXX</v>
      </c>
      <c r="Q22" s="36" t="s">
        <v>42</v>
      </c>
      <c r="R22" s="36">
        <f>0</f>
        <v>0</v>
      </c>
      <c r="S22" s="36" t="str">
        <f t="shared" si="35"/>
        <v>XXX</v>
      </c>
      <c r="Z22" s="36" t="str">
        <f t="shared" si="36"/>
        <v/>
      </c>
      <c r="AA22" s="36" t="str">
        <f>IF(Data[[#This Row],[Notes]]="","",_xlfn.CONCAT("""",SUBSTITUTE(Data[[#This Row],[Notes]],CHAR(10),"%breakline%"),""""))</f>
        <v/>
      </c>
      <c r="AB22" s="36" t="str">
        <f t="shared" si="37"/>
        <v/>
      </c>
      <c r="AC22" s="27" t="s">
        <v>37</v>
      </c>
      <c r="AD22" s="36">
        <f>Data[[#This Row],[Step n°]]-1</f>
        <v>16</v>
      </c>
      <c r="AE22" s="36" t="str">
        <f t="shared" si="38"/>
        <v>XXX</v>
      </c>
      <c r="AF22" s="36" t="str">
        <f t="shared" si="39"/>
        <v/>
      </c>
      <c r="AG22" s="36" t="str">
        <f>IF(_xlfn.IFNA(VLOOKUP(Data[[#This Row],[Exercise]],Table_Exercises[],2,FALSE),"")="","",_xlfn.IFNA(VLOOKUP(Data[[#This Row],[Exercise]],Table_Exercises[],2,FALSE),""))</f>
        <v/>
      </c>
      <c r="AH22" s="36" t="str">
        <f t="shared" si="40"/>
        <v/>
      </c>
      <c r="AI22" s="37" t="str">
        <f t="shared" si="41"/>
        <v/>
      </c>
      <c r="AJ22" s="36" t="str">
        <f>_xlfn.IFNA(IF(VLOOKUP(Data[[#This Row],[Exercise]],Table_Exercises[],3,FALSE)="/","",VLOOKUP(Data[[#This Row],[Exercise]],Table_Exercises[],3,FALSE)),"")</f>
        <v/>
      </c>
      <c r="AK22" s="36" t="str">
        <f t="shared" si="42"/>
        <v/>
      </c>
      <c r="AL22" s="27" t="str">
        <f>IF(OR(Data[[#This Row],[Weight]]="",Data[[#This Row],[Weight]]=0),"","exercise_weight")</f>
        <v/>
      </c>
      <c r="AM22" s="38" t="str">
        <f>IF(OR(Data[[#This Row],[Weight]]="",Data[[#This Row],[Weight]]=0),"",SUBSTITUTE(TEXT(Data[[#This Row],[Weight]],"0,0"),",","."))</f>
        <v/>
      </c>
      <c r="AN22" s="36" t="str">
        <f t="shared" si="43"/>
        <v/>
      </c>
      <c r="AO22" s="27" t="str">
        <f t="shared" si="44"/>
        <v/>
      </c>
      <c r="AP22" s="38" t="str">
        <f t="shared" si="45"/>
        <v/>
      </c>
      <c r="AQ22" s="36" t="str">
        <f t="shared" si="46"/>
        <v/>
      </c>
      <c r="AR22" s="27" t="s">
        <v>39</v>
      </c>
      <c r="AS22" s="36">
        <f>VLOOKUP(Data[[#This Row],[Duration Type]],Table_Duration_Type[],2,FALSE)</f>
        <v>0</v>
      </c>
      <c r="AT22" s="36" t="str">
        <f t="shared" si="47"/>
        <v>XXX</v>
      </c>
      <c r="AU22" s="27" t="s">
        <v>41</v>
      </c>
      <c r="AV22" s="36">
        <f>2</f>
        <v>2</v>
      </c>
      <c r="AW22" s="36" t="str">
        <f t="shared" si="48"/>
        <v>XXX</v>
      </c>
      <c r="AX22" s="27" t="s">
        <v>43</v>
      </c>
      <c r="AY22" s="36">
        <f>VLOOKUP(Data[[#This Row],[Set Type]],Table_Intensity[],2,FALSE)</f>
        <v>1</v>
      </c>
      <c r="AZ22" s="36" t="str">
        <f t="shared" si="49"/>
        <v>XXX</v>
      </c>
      <c r="BA22" s="27" t="s">
        <v>152</v>
      </c>
      <c r="BB22" s="27" t="s">
        <v>152</v>
      </c>
      <c r="BC22" s="27" t="s">
        <v>152</v>
      </c>
      <c r="BD22" s="28" t="str">
        <f>IF(Data[[#This Row],[DataCol1]]&lt;&gt;"",SUBSTITUTE(_xlfn.TEXTJOIN(",",TRUE,Data[[#This Row],[DataCol1]:[DataCol48]]),"XXX",""),"")</f>
        <v>Data,0,workout_step,duration_time,60.0,,target_value,0,,message_index,16,,duration_type,0,,target_type,2,,intensity,1,,,,</v>
      </c>
    </row>
    <row r="23" spans="1:56" ht="45" x14ac:dyDescent="0.25">
      <c r="A23" s="27">
        <v>18</v>
      </c>
      <c r="B23" s="42" t="s">
        <v>64</v>
      </c>
      <c r="C23" s="35" t="s">
        <v>251</v>
      </c>
      <c r="D23" s="27" t="s">
        <v>62</v>
      </c>
      <c r="E23" s="27">
        <v>17</v>
      </c>
      <c r="F23" s="27">
        <v>6</v>
      </c>
      <c r="G23" s="39" t="s">
        <v>109</v>
      </c>
      <c r="H23" s="27" t="str">
        <f t="shared" si="0"/>
        <v>Data</v>
      </c>
      <c r="I23" s="27">
        <f>0</f>
        <v>0</v>
      </c>
      <c r="J23" s="27" t="str">
        <f t="shared" si="1"/>
        <v>workout_step</v>
      </c>
      <c r="N23" s="36" t="str">
        <f>IF(VLOOKUP(Data[[#This Row],[Duration Type]],Table_Duration_Type[],3,FALSE)="/","",VLOOKUP(Data[[#This Row],[Duration Type]],Table_Duration_Type[],3,FALSE))</f>
        <v>duration_reps</v>
      </c>
      <c r="O23" s="36">
        <f>IF(N23&lt;&gt;"",IF(N23='Reference Lists'!$C$2,SUBSTITUTE(TEXT(Data[[#This Row],[Duration Value]],"0,0"),",","."),Data[[#This Row],[Duration Value]]),"")</f>
        <v>17</v>
      </c>
      <c r="P23" s="36" t="str">
        <f t="shared" si="34"/>
        <v>XXX</v>
      </c>
      <c r="Q23" s="36" t="s">
        <v>42</v>
      </c>
      <c r="R23" s="36">
        <f>0</f>
        <v>0</v>
      </c>
      <c r="S23" s="36" t="str">
        <f t="shared" si="35"/>
        <v>XXX</v>
      </c>
      <c r="Z23" s="36" t="str">
        <f t="shared" si="36"/>
        <v>notes</v>
      </c>
      <c r="AA23" s="36" t="str">
        <f>IF(Data[[#This Row],[Notes]]="","",_xlfn.CONCAT("""",SUBSTITUTE(Data[[#This Row],[Notes]],CHAR(10),"%breakline%"),""""))</f>
        <v>"Rétraction scapulaire%breakline%Expirer en montant%breakline%Inspirer en descendant"</v>
      </c>
      <c r="AB23" s="36" t="str">
        <f t="shared" si="37"/>
        <v>XXX</v>
      </c>
      <c r="AC23" s="27" t="s">
        <v>37</v>
      </c>
      <c r="AD23" s="36">
        <f>Data[[#This Row],[Step n°]]-1</f>
        <v>17</v>
      </c>
      <c r="AE23" s="36" t="str">
        <f t="shared" si="38"/>
        <v>XXX</v>
      </c>
      <c r="AF23" s="36" t="str">
        <f t="shared" si="39"/>
        <v>exercise_category</v>
      </c>
      <c r="AG23" s="36">
        <f>IF(_xlfn.IFNA(VLOOKUP(Data[[#This Row],[Exercise]],Table_Exercises[],2,FALSE),"")="","",_xlfn.IFNA(VLOOKUP(Data[[#This Row],[Exercise]],Table_Exercises[],2,FALSE),""))</f>
        <v>30</v>
      </c>
      <c r="AH23" s="36" t="str">
        <f t="shared" si="40"/>
        <v>XXX</v>
      </c>
      <c r="AI23" s="37" t="str">
        <f t="shared" si="41"/>
        <v>exercise_name</v>
      </c>
      <c r="AJ23" s="36">
        <f>_xlfn.IFNA(IF(VLOOKUP(Data[[#This Row],[Exercise]],Table_Exercises[],3,FALSE)="/","",VLOOKUP(Data[[#This Row],[Exercise]],Table_Exercises[],3,FALSE)),"")</f>
        <v>12</v>
      </c>
      <c r="AK23" s="36" t="str">
        <f t="shared" si="42"/>
        <v>XXX</v>
      </c>
      <c r="AL23" s="27" t="str">
        <f>IF(OR(Data[[#This Row],[Weight]]="",Data[[#This Row],[Weight]]=0),"","exercise_weight")</f>
        <v>exercise_weight</v>
      </c>
      <c r="AM23" s="38" t="str">
        <f>IF(OR(Data[[#This Row],[Weight]]="",Data[[#This Row],[Weight]]=0),"",SUBSTITUTE(TEXT(Data[[#This Row],[Weight]],"0,0"),",","."))</f>
        <v>6.0</v>
      </c>
      <c r="AN23" s="36" t="str">
        <f t="shared" si="43"/>
        <v>XXX</v>
      </c>
      <c r="AO23" s="27" t="str">
        <f t="shared" si="44"/>
        <v>weight_display_unit</v>
      </c>
      <c r="AP23" s="38">
        <f t="shared" si="45"/>
        <v>1</v>
      </c>
      <c r="AQ23" s="36" t="str">
        <f t="shared" si="46"/>
        <v>XXX</v>
      </c>
      <c r="AR23" s="27" t="s">
        <v>39</v>
      </c>
      <c r="AS23" s="36">
        <f>VLOOKUP(Data[[#This Row],[Duration Type]],Table_Duration_Type[],2,FALSE)</f>
        <v>29</v>
      </c>
      <c r="AT23" s="36" t="str">
        <f t="shared" si="47"/>
        <v>XXX</v>
      </c>
      <c r="AU23" s="27" t="s">
        <v>41</v>
      </c>
      <c r="AV23" s="36">
        <f>2</f>
        <v>2</v>
      </c>
      <c r="AW23" s="36" t="str">
        <f t="shared" si="48"/>
        <v>XXX</v>
      </c>
      <c r="AX23" s="27" t="s">
        <v>43</v>
      </c>
      <c r="AY23" s="36">
        <f>VLOOKUP(Data[[#This Row],[Set Type]],Table_Intensity[],2,FALSE)</f>
        <v>0</v>
      </c>
      <c r="AZ23" s="36" t="str">
        <f t="shared" si="49"/>
        <v>XXX</v>
      </c>
      <c r="BA23" s="27" t="s">
        <v>152</v>
      </c>
      <c r="BB23" s="27" t="s">
        <v>152</v>
      </c>
      <c r="BC23" s="27" t="s">
        <v>152</v>
      </c>
      <c r="BD23" s="28" t="str">
        <f>IF(Data[[#This Row],[DataCol1]]&lt;&gt;"",SUBSTITUTE(_xlfn.TEXTJOIN(",",TRUE,Data[[#This Row],[DataCol1]:[DataCol48]]),"XXX",""),"")</f>
        <v>Data,0,workout_step,duration_reps,17,,target_value,0,,notes,"Rétraction scapulaire%breakline%Expirer en montant%breakline%Inspirer en descendant",,message_index,17,,exercise_category,30,,exercise_name,12,,exercise_weight,6.0,,weight_display_unit,1,,duration_type,29,,target_type,2,,intensity,0,,,,</v>
      </c>
    </row>
    <row r="24" spans="1:56" x14ac:dyDescent="0.25">
      <c r="A24" s="27">
        <v>19</v>
      </c>
      <c r="B24" s="42" t="s">
        <v>65</v>
      </c>
      <c r="C24" s="35"/>
      <c r="D24" s="27" t="s">
        <v>61</v>
      </c>
      <c r="E24" s="27">
        <v>60</v>
      </c>
      <c r="H24" s="27" t="str">
        <f t="shared" si="0"/>
        <v>Data</v>
      </c>
      <c r="I24" s="27">
        <f>0</f>
        <v>0</v>
      </c>
      <c r="J24" s="27" t="str">
        <f t="shared" si="1"/>
        <v>workout_step</v>
      </c>
      <c r="N24" s="36" t="str">
        <f>IF(VLOOKUP(Data[[#This Row],[Duration Type]],Table_Duration_Type[],3,FALSE)="/","",VLOOKUP(Data[[#This Row],[Duration Type]],Table_Duration_Type[],3,FALSE))</f>
        <v>duration_time</v>
      </c>
      <c r="O24" s="36" t="str">
        <f>IF(N24&lt;&gt;"",IF(N24='Reference Lists'!$C$2,SUBSTITUTE(TEXT(Data[[#This Row],[Duration Value]],"0,0"),",","."),Data[[#This Row],[Duration Value]]),"")</f>
        <v>60.0</v>
      </c>
      <c r="P24" s="36" t="str">
        <f t="shared" si="34"/>
        <v>XXX</v>
      </c>
      <c r="Q24" s="36" t="s">
        <v>42</v>
      </c>
      <c r="R24" s="36">
        <f>0</f>
        <v>0</v>
      </c>
      <c r="S24" s="36" t="str">
        <f t="shared" si="35"/>
        <v>XXX</v>
      </c>
      <c r="Z24" s="36" t="str">
        <f t="shared" si="36"/>
        <v/>
      </c>
      <c r="AA24" s="36" t="str">
        <f>IF(Data[[#This Row],[Notes]]="","",_xlfn.CONCAT("""",SUBSTITUTE(Data[[#This Row],[Notes]],CHAR(10),"%breakline%"),""""))</f>
        <v/>
      </c>
      <c r="AB24" s="36" t="str">
        <f t="shared" si="37"/>
        <v/>
      </c>
      <c r="AC24" s="27" t="s">
        <v>37</v>
      </c>
      <c r="AD24" s="36">
        <f>Data[[#This Row],[Step n°]]-1</f>
        <v>18</v>
      </c>
      <c r="AE24" s="36" t="str">
        <f t="shared" si="38"/>
        <v>XXX</v>
      </c>
      <c r="AF24" s="36" t="str">
        <f t="shared" si="39"/>
        <v/>
      </c>
      <c r="AG24" s="36" t="str">
        <f>IF(_xlfn.IFNA(VLOOKUP(Data[[#This Row],[Exercise]],Table_Exercises[],2,FALSE),"")="","",_xlfn.IFNA(VLOOKUP(Data[[#This Row],[Exercise]],Table_Exercises[],2,FALSE),""))</f>
        <v/>
      </c>
      <c r="AH24" s="36" t="str">
        <f t="shared" si="40"/>
        <v/>
      </c>
      <c r="AI24" s="37" t="str">
        <f t="shared" si="41"/>
        <v/>
      </c>
      <c r="AJ24" s="36" t="str">
        <f>_xlfn.IFNA(IF(VLOOKUP(Data[[#This Row],[Exercise]],Table_Exercises[],3,FALSE)="/","",VLOOKUP(Data[[#This Row],[Exercise]],Table_Exercises[],3,FALSE)),"")</f>
        <v/>
      </c>
      <c r="AK24" s="36" t="str">
        <f t="shared" si="42"/>
        <v/>
      </c>
      <c r="AL24" s="27" t="str">
        <f>IF(OR(Data[[#This Row],[Weight]]="",Data[[#This Row],[Weight]]=0),"","exercise_weight")</f>
        <v/>
      </c>
      <c r="AM24" s="38" t="str">
        <f>IF(OR(Data[[#This Row],[Weight]]="",Data[[#This Row],[Weight]]=0),"",SUBSTITUTE(TEXT(Data[[#This Row],[Weight]],"0,0"),",","."))</f>
        <v/>
      </c>
      <c r="AN24" s="36" t="str">
        <f t="shared" si="43"/>
        <v/>
      </c>
      <c r="AO24" s="27" t="str">
        <f t="shared" si="44"/>
        <v/>
      </c>
      <c r="AP24" s="38" t="str">
        <f t="shared" si="45"/>
        <v/>
      </c>
      <c r="AQ24" s="36" t="str">
        <f t="shared" si="46"/>
        <v/>
      </c>
      <c r="AR24" s="27" t="s">
        <v>39</v>
      </c>
      <c r="AS24" s="36">
        <f>VLOOKUP(Data[[#This Row],[Duration Type]],Table_Duration_Type[],2,FALSE)</f>
        <v>0</v>
      </c>
      <c r="AT24" s="36" t="str">
        <f t="shared" si="47"/>
        <v>XXX</v>
      </c>
      <c r="AU24" s="27" t="s">
        <v>41</v>
      </c>
      <c r="AV24" s="36">
        <f>2</f>
        <v>2</v>
      </c>
      <c r="AW24" s="36" t="str">
        <f t="shared" si="48"/>
        <v>XXX</v>
      </c>
      <c r="AX24" s="27" t="s">
        <v>43</v>
      </c>
      <c r="AY24" s="36">
        <f>VLOOKUP(Data[[#This Row],[Set Type]],Table_Intensity[],2,FALSE)</f>
        <v>1</v>
      </c>
      <c r="AZ24" s="36" t="str">
        <f t="shared" si="49"/>
        <v>XXX</v>
      </c>
      <c r="BA24" s="27" t="s">
        <v>152</v>
      </c>
      <c r="BB24" s="27" t="s">
        <v>152</v>
      </c>
      <c r="BC24" s="27" t="s">
        <v>152</v>
      </c>
      <c r="BD24" s="28" t="str">
        <f>IF(Data[[#This Row],[DataCol1]]&lt;&gt;"",SUBSTITUTE(_xlfn.TEXTJOIN(",",TRUE,Data[[#This Row],[DataCol1]:[DataCol48]]),"XXX",""),"")</f>
        <v>Data,0,workout_step,duration_time,60.0,,target_value,0,,message_index,18,,duration_type,0,,target_type,2,,intensity,1,,,,</v>
      </c>
    </row>
    <row r="25" spans="1:56" ht="60" x14ac:dyDescent="0.25">
      <c r="A25" s="27">
        <v>20</v>
      </c>
      <c r="B25" s="42" t="s">
        <v>105</v>
      </c>
      <c r="C25" s="35" t="s">
        <v>249</v>
      </c>
      <c r="D25" s="27" t="s">
        <v>62</v>
      </c>
      <c r="E25" s="27">
        <v>10</v>
      </c>
      <c r="F25" s="27">
        <v>0</v>
      </c>
      <c r="G25" s="39" t="s">
        <v>252</v>
      </c>
      <c r="H25" s="27" t="str">
        <f t="shared" si="0"/>
        <v>Data</v>
      </c>
      <c r="I25" s="27">
        <f>0</f>
        <v>0</v>
      </c>
      <c r="J25" s="27" t="str">
        <f t="shared" si="1"/>
        <v>workout_step</v>
      </c>
      <c r="N25" s="36" t="str">
        <f>IF(VLOOKUP(Data[[#This Row],[Duration Type]],Table_Duration_Type[],3,FALSE)="/","",VLOOKUP(Data[[#This Row],[Duration Type]],Table_Duration_Type[],3,FALSE))</f>
        <v>duration_reps</v>
      </c>
      <c r="O25" s="36">
        <f>IF(N25&lt;&gt;"",IF(N25='Reference Lists'!$C$2,SUBSTITUTE(TEXT(Data[[#This Row],[Duration Value]],"0,0"),",","."),Data[[#This Row],[Duration Value]]),"")</f>
        <v>10</v>
      </c>
      <c r="P25" s="36" t="str">
        <f t="shared" si="34"/>
        <v>XXX</v>
      </c>
      <c r="Q25" s="36" t="s">
        <v>42</v>
      </c>
      <c r="R25" s="36">
        <f>0</f>
        <v>0</v>
      </c>
      <c r="S25" s="36" t="str">
        <f t="shared" si="35"/>
        <v>XXX</v>
      </c>
      <c r="Z25" s="36" t="str">
        <f t="shared" si="36"/>
        <v>notes</v>
      </c>
      <c r="AA25" s="36" t="str">
        <f>IF(Data[[#This Row],[Notes]]="","",_xlfn.CONCAT("""",SUBSTITUTE(Data[[#This Row],[Notes]],CHAR(10),"%breakline%"),""""))</f>
        <v>"Mains // au sol, épaules basses%breakline%Saisir haltères sur l'arrière%breakline%Inspirer en montant%breakline%Expirer en descendant"</v>
      </c>
      <c r="AB25" s="36" t="str">
        <f t="shared" si="37"/>
        <v>XXX</v>
      </c>
      <c r="AC25" s="27" t="s">
        <v>37</v>
      </c>
      <c r="AD25" s="36">
        <f>Data[[#This Row],[Step n°]]-1</f>
        <v>19</v>
      </c>
      <c r="AE25" s="36" t="str">
        <f t="shared" si="38"/>
        <v>XXX</v>
      </c>
      <c r="AF25" s="36" t="str">
        <f t="shared" si="39"/>
        <v>exercise_category</v>
      </c>
      <c r="AG25" s="36">
        <f>IF(_xlfn.IFNA(VLOOKUP(Data[[#This Row],[Exercise]],Table_Exercises[],2,FALSE),"")="","",_xlfn.IFNA(VLOOKUP(Data[[#This Row],[Exercise]],Table_Exercises[],2,FALSE),""))</f>
        <v>14</v>
      </c>
      <c r="AH25" s="36" t="str">
        <f t="shared" si="40"/>
        <v>XXX</v>
      </c>
      <c r="AI25" s="37" t="str">
        <f t="shared" si="41"/>
        <v>exercise_name</v>
      </c>
      <c r="AJ25" s="36">
        <f>_xlfn.IFNA(IF(VLOOKUP(Data[[#This Row],[Exercise]],Table_Exercises[],3,FALSE)="/","",VLOOKUP(Data[[#This Row],[Exercise]],Table_Exercises[],3,FALSE)),"")</f>
        <v>24</v>
      </c>
      <c r="AK25" s="36" t="str">
        <f t="shared" si="42"/>
        <v>XXX</v>
      </c>
      <c r="AL25" s="27" t="str">
        <f>IF(OR(Data[[#This Row],[Weight]]="",Data[[#This Row],[Weight]]=0),"","exercise_weight")</f>
        <v/>
      </c>
      <c r="AM25" s="38" t="str">
        <f>IF(OR(Data[[#This Row],[Weight]]="",Data[[#This Row],[Weight]]=0),"",SUBSTITUTE(TEXT(Data[[#This Row],[Weight]],"0,0"),",","."))</f>
        <v/>
      </c>
      <c r="AN25" s="36" t="str">
        <f t="shared" si="43"/>
        <v/>
      </c>
      <c r="AO25" s="27" t="str">
        <f t="shared" si="44"/>
        <v/>
      </c>
      <c r="AP25" s="38" t="str">
        <f t="shared" si="45"/>
        <v/>
      </c>
      <c r="AQ25" s="36" t="str">
        <f t="shared" si="46"/>
        <v/>
      </c>
      <c r="AR25" s="27" t="s">
        <v>39</v>
      </c>
      <c r="AS25" s="36">
        <f>VLOOKUP(Data[[#This Row],[Duration Type]],Table_Duration_Type[],2,FALSE)</f>
        <v>29</v>
      </c>
      <c r="AT25" s="36" t="str">
        <f t="shared" si="47"/>
        <v>XXX</v>
      </c>
      <c r="AU25" s="27" t="s">
        <v>41</v>
      </c>
      <c r="AV25" s="36">
        <f>2</f>
        <v>2</v>
      </c>
      <c r="AW25" s="36" t="str">
        <f t="shared" si="48"/>
        <v>XXX</v>
      </c>
      <c r="AX25" s="27" t="s">
        <v>43</v>
      </c>
      <c r="AY25" s="36">
        <f>VLOOKUP(Data[[#This Row],[Set Type]],Table_Intensity[],2,FALSE)</f>
        <v>2</v>
      </c>
      <c r="AZ25" s="36" t="str">
        <f t="shared" si="49"/>
        <v>XXX</v>
      </c>
      <c r="BA25" s="27" t="s">
        <v>152</v>
      </c>
      <c r="BB25" s="27" t="s">
        <v>152</v>
      </c>
      <c r="BC25" s="27" t="s">
        <v>152</v>
      </c>
      <c r="BD25" s="28" t="str">
        <f>IF(Data[[#This Row],[DataCol1]]&lt;&gt;"",SUBSTITUTE(_xlfn.TEXTJOIN(",",TRUE,Data[[#This Row],[DataCol1]:[DataCol48]]),"XXX",""),"")</f>
        <v>Data,0,workout_step,duration_reps,10,,target_value,0,,notes,"Mains // au sol, épaules basses%breakline%Saisir haltères sur l'arrière%breakline%Inspirer en montant%breakline%Expirer en descendant",,message_index,19,,exercise_category,14,,exercise_name,24,,duration_type,29,,target_type,2,,intensity,2,,,,</v>
      </c>
    </row>
    <row r="26" spans="1:56" x14ac:dyDescent="0.25">
      <c r="A26" s="27">
        <v>21</v>
      </c>
      <c r="B26" s="42" t="s">
        <v>65</v>
      </c>
      <c r="C26" s="35"/>
      <c r="D26" s="27" t="s">
        <v>79</v>
      </c>
      <c r="H26" s="27" t="str">
        <f t="shared" si="0"/>
        <v>Data</v>
      </c>
      <c r="I26" s="27">
        <f>0</f>
        <v>0</v>
      </c>
      <c r="J26" s="27" t="str">
        <f t="shared" si="1"/>
        <v>workout_step</v>
      </c>
      <c r="N26" s="36" t="str">
        <f>IF(VLOOKUP(Data[[#This Row],[Duration Type]],Table_Duration_Type[],3,FALSE)="/","",VLOOKUP(Data[[#This Row],[Duration Type]],Table_Duration_Type[],3,FALSE))</f>
        <v/>
      </c>
      <c r="O26" s="36" t="str">
        <f>IF(N26&lt;&gt;"",IF(N26='Reference Lists'!$C$2,SUBSTITUTE(TEXT(Data[[#This Row],[Duration Value]],"0,0"),",","."),Data[[#This Row],[Duration Value]]),"")</f>
        <v/>
      </c>
      <c r="P26" s="36" t="str">
        <f t="shared" si="34"/>
        <v/>
      </c>
      <c r="Q26" s="36" t="s">
        <v>42</v>
      </c>
      <c r="R26" s="36">
        <f>0</f>
        <v>0</v>
      </c>
      <c r="S26" s="36" t="str">
        <f t="shared" si="35"/>
        <v>XXX</v>
      </c>
      <c r="Z26" s="36" t="str">
        <f t="shared" si="36"/>
        <v/>
      </c>
      <c r="AA26" s="36" t="str">
        <f>IF(Data[[#This Row],[Notes]]="","",_xlfn.CONCAT("""",SUBSTITUTE(Data[[#This Row],[Notes]],CHAR(10),"%breakline%"),""""))</f>
        <v/>
      </c>
      <c r="AB26" s="36" t="str">
        <f t="shared" si="37"/>
        <v/>
      </c>
      <c r="AC26" s="27" t="s">
        <v>37</v>
      </c>
      <c r="AD26" s="36">
        <f>Data[[#This Row],[Step n°]]-1</f>
        <v>20</v>
      </c>
      <c r="AE26" s="36" t="str">
        <f t="shared" si="38"/>
        <v>XXX</v>
      </c>
      <c r="AF26" s="36" t="str">
        <f t="shared" si="39"/>
        <v/>
      </c>
      <c r="AG26" s="36" t="str">
        <f>IF(_xlfn.IFNA(VLOOKUP(Data[[#This Row],[Exercise]],Table_Exercises[],2,FALSE),"")="","",_xlfn.IFNA(VLOOKUP(Data[[#This Row],[Exercise]],Table_Exercises[],2,FALSE),""))</f>
        <v/>
      </c>
      <c r="AH26" s="36" t="str">
        <f t="shared" si="40"/>
        <v/>
      </c>
      <c r="AI26" s="37" t="str">
        <f t="shared" si="41"/>
        <v/>
      </c>
      <c r="AJ26" s="36" t="str">
        <f>_xlfn.IFNA(IF(VLOOKUP(Data[[#This Row],[Exercise]],Table_Exercises[],3,FALSE)="/","",VLOOKUP(Data[[#This Row],[Exercise]],Table_Exercises[],3,FALSE)),"")</f>
        <v/>
      </c>
      <c r="AK26" s="36" t="str">
        <f t="shared" si="42"/>
        <v/>
      </c>
      <c r="AL26" s="27" t="str">
        <f>IF(OR(Data[[#This Row],[Weight]]="",Data[[#This Row],[Weight]]=0),"","exercise_weight")</f>
        <v/>
      </c>
      <c r="AM26" s="38" t="str">
        <f>IF(OR(Data[[#This Row],[Weight]]="",Data[[#This Row],[Weight]]=0),"",SUBSTITUTE(TEXT(Data[[#This Row],[Weight]],"0,0"),",","."))</f>
        <v/>
      </c>
      <c r="AN26" s="36" t="str">
        <f t="shared" si="43"/>
        <v/>
      </c>
      <c r="AO26" s="27" t="str">
        <f t="shared" si="44"/>
        <v/>
      </c>
      <c r="AP26" s="38" t="str">
        <f t="shared" si="45"/>
        <v/>
      </c>
      <c r="AQ26" s="36" t="str">
        <f t="shared" si="46"/>
        <v/>
      </c>
      <c r="AR26" s="27" t="s">
        <v>39</v>
      </c>
      <c r="AS26" s="36">
        <f>VLOOKUP(Data[[#This Row],[Duration Type]],Table_Duration_Type[],2,FALSE)</f>
        <v>5</v>
      </c>
      <c r="AT26" s="36" t="str">
        <f t="shared" si="47"/>
        <v>XXX</v>
      </c>
      <c r="AU26" s="27" t="s">
        <v>41</v>
      </c>
      <c r="AV26" s="36">
        <f>2</f>
        <v>2</v>
      </c>
      <c r="AW26" s="36" t="str">
        <f t="shared" si="48"/>
        <v>XXX</v>
      </c>
      <c r="AX26" s="27" t="s">
        <v>43</v>
      </c>
      <c r="AY26" s="36">
        <f>VLOOKUP(Data[[#This Row],[Set Type]],Table_Intensity[],2,FALSE)</f>
        <v>1</v>
      </c>
      <c r="AZ26" s="36" t="str">
        <f t="shared" si="49"/>
        <v>XXX</v>
      </c>
      <c r="BA26" s="27" t="s">
        <v>152</v>
      </c>
      <c r="BB26" s="27" t="s">
        <v>152</v>
      </c>
      <c r="BC26" s="27" t="s">
        <v>152</v>
      </c>
      <c r="BD26" s="28" t="str">
        <f>IF(Data[[#This Row],[DataCol1]]&lt;&gt;"",SUBSTITUTE(_xlfn.TEXTJOIN(",",TRUE,Data[[#This Row],[DataCol1]:[DataCol48]]),"XXX",""),"")</f>
        <v>Data,0,workout_step,target_value,0,,message_index,20,,duration_type,5,,target_type,2,,intensity,1,,,,</v>
      </c>
    </row>
    <row r="27" spans="1:56" ht="60" x14ac:dyDescent="0.25">
      <c r="A27" s="27">
        <v>22</v>
      </c>
      <c r="B27" s="42" t="s">
        <v>64</v>
      </c>
      <c r="C27" s="35" t="s">
        <v>249</v>
      </c>
      <c r="D27" s="27" t="s">
        <v>62</v>
      </c>
      <c r="E27" s="27">
        <v>16</v>
      </c>
      <c r="F27" s="27">
        <v>2</v>
      </c>
      <c r="G27" s="39" t="s">
        <v>252</v>
      </c>
      <c r="H27" s="27" t="str">
        <f t="shared" si="0"/>
        <v>Data</v>
      </c>
      <c r="I27" s="27">
        <f>0</f>
        <v>0</v>
      </c>
      <c r="J27" s="27" t="str">
        <f t="shared" si="1"/>
        <v>workout_step</v>
      </c>
      <c r="N27" s="36" t="str">
        <f>IF(VLOOKUP(Data[[#This Row],[Duration Type]],Table_Duration_Type[],3,FALSE)="/","",VLOOKUP(Data[[#This Row],[Duration Type]],Table_Duration_Type[],3,FALSE))</f>
        <v>duration_reps</v>
      </c>
      <c r="O27" s="36">
        <f>IF(N27&lt;&gt;"",IF(N27='Reference Lists'!$C$2,SUBSTITUTE(TEXT(Data[[#This Row],[Duration Value]],"0,0"),",","."),Data[[#This Row],[Duration Value]]),"")</f>
        <v>16</v>
      </c>
      <c r="P27" s="36" t="str">
        <f t="shared" si="34"/>
        <v>XXX</v>
      </c>
      <c r="Q27" s="36" t="s">
        <v>42</v>
      </c>
      <c r="R27" s="36">
        <f>0</f>
        <v>0</v>
      </c>
      <c r="S27" s="36" t="str">
        <f t="shared" si="35"/>
        <v>XXX</v>
      </c>
      <c r="Z27" s="36" t="str">
        <f t="shared" si="36"/>
        <v>notes</v>
      </c>
      <c r="AA27" s="36" t="str">
        <f>IF(Data[[#This Row],[Notes]]="","",_xlfn.CONCAT("""",SUBSTITUTE(Data[[#This Row],[Notes]],CHAR(10),"%breakline%"),""""))</f>
        <v>"Mains // au sol, épaules basses%breakline%Saisir haltères sur l'arrière%breakline%Inspirer en montant%breakline%Expirer en descendant"</v>
      </c>
      <c r="AB27" s="36" t="str">
        <f t="shared" si="37"/>
        <v>XXX</v>
      </c>
      <c r="AC27" s="27" t="s">
        <v>37</v>
      </c>
      <c r="AD27" s="36">
        <f>Data[[#This Row],[Step n°]]-1</f>
        <v>21</v>
      </c>
      <c r="AE27" s="36" t="str">
        <f t="shared" si="38"/>
        <v>XXX</v>
      </c>
      <c r="AF27" s="36" t="str">
        <f t="shared" si="39"/>
        <v>exercise_category</v>
      </c>
      <c r="AG27" s="36">
        <f>IF(_xlfn.IFNA(VLOOKUP(Data[[#This Row],[Exercise]],Table_Exercises[],2,FALSE),"")="","",_xlfn.IFNA(VLOOKUP(Data[[#This Row],[Exercise]],Table_Exercises[],2,FALSE),""))</f>
        <v>14</v>
      </c>
      <c r="AH27" s="36" t="str">
        <f t="shared" si="40"/>
        <v>XXX</v>
      </c>
      <c r="AI27" s="37" t="str">
        <f t="shared" si="41"/>
        <v>exercise_name</v>
      </c>
      <c r="AJ27" s="36">
        <f>_xlfn.IFNA(IF(VLOOKUP(Data[[#This Row],[Exercise]],Table_Exercises[],3,FALSE)="/","",VLOOKUP(Data[[#This Row],[Exercise]],Table_Exercises[],3,FALSE)),"")</f>
        <v>24</v>
      </c>
      <c r="AK27" s="36" t="str">
        <f t="shared" si="42"/>
        <v>XXX</v>
      </c>
      <c r="AL27" s="27" t="str">
        <f>IF(OR(Data[[#This Row],[Weight]]="",Data[[#This Row],[Weight]]=0),"","exercise_weight")</f>
        <v>exercise_weight</v>
      </c>
      <c r="AM27" s="38" t="str">
        <f>IF(OR(Data[[#This Row],[Weight]]="",Data[[#This Row],[Weight]]=0),"",SUBSTITUTE(TEXT(Data[[#This Row],[Weight]],"0,0"),",","."))</f>
        <v>2.0</v>
      </c>
      <c r="AN27" s="36" t="str">
        <f t="shared" si="43"/>
        <v>XXX</v>
      </c>
      <c r="AO27" s="27" t="str">
        <f t="shared" si="44"/>
        <v>weight_display_unit</v>
      </c>
      <c r="AP27" s="38">
        <f t="shared" si="45"/>
        <v>1</v>
      </c>
      <c r="AQ27" s="36" t="str">
        <f t="shared" si="46"/>
        <v>XXX</v>
      </c>
      <c r="AR27" s="27" t="s">
        <v>39</v>
      </c>
      <c r="AS27" s="36">
        <f>VLOOKUP(Data[[#This Row],[Duration Type]],Table_Duration_Type[],2,FALSE)</f>
        <v>29</v>
      </c>
      <c r="AT27" s="36" t="str">
        <f t="shared" si="47"/>
        <v>XXX</v>
      </c>
      <c r="AU27" s="27" t="s">
        <v>41</v>
      </c>
      <c r="AV27" s="36">
        <f>2</f>
        <v>2</v>
      </c>
      <c r="AW27" s="36" t="str">
        <f t="shared" si="48"/>
        <v>XXX</v>
      </c>
      <c r="AX27" s="27" t="s">
        <v>43</v>
      </c>
      <c r="AY27" s="36">
        <f>VLOOKUP(Data[[#This Row],[Set Type]],Table_Intensity[],2,FALSE)</f>
        <v>0</v>
      </c>
      <c r="AZ27" s="36" t="str">
        <f t="shared" si="49"/>
        <v>XXX</v>
      </c>
      <c r="BA27" s="27" t="s">
        <v>152</v>
      </c>
      <c r="BB27" s="27" t="s">
        <v>152</v>
      </c>
      <c r="BC27" s="27" t="s">
        <v>152</v>
      </c>
      <c r="BD27" s="28" t="str">
        <f>IF(Data[[#This Row],[DataCol1]]&lt;&gt;"",SUBSTITUTE(_xlfn.TEXTJOIN(",",TRUE,Data[[#This Row],[DataCol1]:[DataCol48]]),"XXX",""),"")</f>
        <v>Data,0,workout_step,duration_reps,16,,target_value,0,,notes,"Mains // au sol, épaules basses%breakline%Saisir haltères sur l'arrière%breakline%Inspirer en montant%breakline%Expirer en descendant",,message_index,21,,exercise_category,14,,exercise_name,24,,exercise_weight,2.0,,weight_display_unit,1,,duration_type,29,,target_type,2,,intensity,0,,,,</v>
      </c>
    </row>
    <row r="28" spans="1:56" x14ac:dyDescent="0.25">
      <c r="A28" s="27">
        <v>23</v>
      </c>
      <c r="B28" s="42" t="s">
        <v>65</v>
      </c>
      <c r="C28" s="35"/>
      <c r="D28" s="27" t="s">
        <v>61</v>
      </c>
      <c r="E28" s="27">
        <v>60</v>
      </c>
      <c r="H28" s="27" t="str">
        <f t="shared" si="0"/>
        <v>Data</v>
      </c>
      <c r="I28" s="27">
        <f>0</f>
        <v>0</v>
      </c>
      <c r="J28" s="27" t="str">
        <f t="shared" si="1"/>
        <v>workout_step</v>
      </c>
      <c r="N28" s="36" t="str">
        <f>IF(VLOOKUP(Data[[#This Row],[Duration Type]],Table_Duration_Type[],3,FALSE)="/","",VLOOKUP(Data[[#This Row],[Duration Type]],Table_Duration_Type[],3,FALSE))</f>
        <v>duration_time</v>
      </c>
      <c r="O28" s="36" t="str">
        <f>IF(N28&lt;&gt;"",IF(N28='Reference Lists'!$C$2,SUBSTITUTE(TEXT(Data[[#This Row],[Duration Value]],"0,0"),",","."),Data[[#This Row],[Duration Value]]),"")</f>
        <v>60.0</v>
      </c>
      <c r="P28" s="36" t="str">
        <f t="shared" si="34"/>
        <v>XXX</v>
      </c>
      <c r="Q28" s="36" t="s">
        <v>42</v>
      </c>
      <c r="R28" s="36">
        <f>0</f>
        <v>0</v>
      </c>
      <c r="S28" s="36" t="str">
        <f t="shared" si="35"/>
        <v>XXX</v>
      </c>
      <c r="Z28" s="36" t="str">
        <f t="shared" si="36"/>
        <v/>
      </c>
      <c r="AA28" s="36" t="str">
        <f>IF(Data[[#This Row],[Notes]]="","",_xlfn.CONCAT("""",SUBSTITUTE(Data[[#This Row],[Notes]],CHAR(10),"%breakline%"),""""))</f>
        <v/>
      </c>
      <c r="AB28" s="36" t="str">
        <f t="shared" si="37"/>
        <v/>
      </c>
      <c r="AC28" s="27" t="s">
        <v>37</v>
      </c>
      <c r="AD28" s="36">
        <f>Data[[#This Row],[Step n°]]-1</f>
        <v>22</v>
      </c>
      <c r="AE28" s="36" t="str">
        <f t="shared" si="38"/>
        <v>XXX</v>
      </c>
      <c r="AF28" s="36" t="str">
        <f t="shared" si="39"/>
        <v/>
      </c>
      <c r="AG28" s="36" t="str">
        <f>IF(_xlfn.IFNA(VLOOKUP(Data[[#This Row],[Exercise]],Table_Exercises[],2,FALSE),"")="","",_xlfn.IFNA(VLOOKUP(Data[[#This Row],[Exercise]],Table_Exercises[],2,FALSE),""))</f>
        <v/>
      </c>
      <c r="AH28" s="36" t="str">
        <f t="shared" si="40"/>
        <v/>
      </c>
      <c r="AI28" s="37" t="str">
        <f t="shared" si="41"/>
        <v/>
      </c>
      <c r="AJ28" s="36" t="str">
        <f>_xlfn.IFNA(IF(VLOOKUP(Data[[#This Row],[Exercise]],Table_Exercises[],3,FALSE)="/","",VLOOKUP(Data[[#This Row],[Exercise]],Table_Exercises[],3,FALSE)),"")</f>
        <v/>
      </c>
      <c r="AK28" s="36" t="str">
        <f t="shared" si="42"/>
        <v/>
      </c>
      <c r="AL28" s="27" t="str">
        <f>IF(OR(Data[[#This Row],[Weight]]="",Data[[#This Row],[Weight]]=0),"","exercise_weight")</f>
        <v/>
      </c>
      <c r="AM28" s="38" t="str">
        <f>IF(OR(Data[[#This Row],[Weight]]="",Data[[#This Row],[Weight]]=0),"",SUBSTITUTE(TEXT(Data[[#This Row],[Weight]],"0,0"),",","."))</f>
        <v/>
      </c>
      <c r="AN28" s="36" t="str">
        <f t="shared" si="43"/>
        <v/>
      </c>
      <c r="AO28" s="27" t="str">
        <f t="shared" si="44"/>
        <v/>
      </c>
      <c r="AP28" s="38" t="str">
        <f t="shared" si="45"/>
        <v/>
      </c>
      <c r="AQ28" s="36" t="str">
        <f t="shared" si="46"/>
        <v/>
      </c>
      <c r="AR28" s="27" t="s">
        <v>39</v>
      </c>
      <c r="AS28" s="36">
        <f>VLOOKUP(Data[[#This Row],[Duration Type]],Table_Duration_Type[],2,FALSE)</f>
        <v>0</v>
      </c>
      <c r="AT28" s="36" t="str">
        <f t="shared" si="47"/>
        <v>XXX</v>
      </c>
      <c r="AU28" s="27" t="s">
        <v>41</v>
      </c>
      <c r="AV28" s="36">
        <f>2</f>
        <v>2</v>
      </c>
      <c r="AW28" s="36" t="str">
        <f t="shared" si="48"/>
        <v>XXX</v>
      </c>
      <c r="AX28" s="27" t="s">
        <v>43</v>
      </c>
      <c r="AY28" s="36">
        <f>VLOOKUP(Data[[#This Row],[Set Type]],Table_Intensity[],2,FALSE)</f>
        <v>1</v>
      </c>
      <c r="AZ28" s="36" t="str">
        <f t="shared" si="49"/>
        <v>XXX</v>
      </c>
      <c r="BA28" s="27" t="s">
        <v>152</v>
      </c>
      <c r="BB28" s="27" t="s">
        <v>152</v>
      </c>
      <c r="BC28" s="27" t="s">
        <v>152</v>
      </c>
      <c r="BD28" s="28" t="str">
        <f>IF(Data[[#This Row],[DataCol1]]&lt;&gt;"",SUBSTITUTE(_xlfn.TEXTJOIN(",",TRUE,Data[[#This Row],[DataCol1]:[DataCol48]]),"XXX",""),"")</f>
        <v>Data,0,workout_step,duration_time,60.0,,target_value,0,,message_index,22,,duration_type,0,,target_type,2,,intensity,1,,,,</v>
      </c>
    </row>
    <row r="29" spans="1:56" ht="60" x14ac:dyDescent="0.25">
      <c r="A29" s="27">
        <v>24</v>
      </c>
      <c r="B29" s="42" t="s">
        <v>64</v>
      </c>
      <c r="C29" s="35" t="s">
        <v>249</v>
      </c>
      <c r="D29" s="27" t="s">
        <v>62</v>
      </c>
      <c r="E29" s="27">
        <v>16</v>
      </c>
      <c r="F29" s="27">
        <v>2</v>
      </c>
      <c r="G29" s="39" t="s">
        <v>252</v>
      </c>
      <c r="H29" s="27" t="str">
        <f t="shared" si="0"/>
        <v>Data</v>
      </c>
      <c r="I29" s="27">
        <f>0</f>
        <v>0</v>
      </c>
      <c r="J29" s="27" t="str">
        <f t="shared" si="1"/>
        <v>workout_step</v>
      </c>
      <c r="N29" s="36" t="str">
        <f>IF(VLOOKUP(Data[[#This Row],[Duration Type]],Table_Duration_Type[],3,FALSE)="/","",VLOOKUP(Data[[#This Row],[Duration Type]],Table_Duration_Type[],3,FALSE))</f>
        <v>duration_reps</v>
      </c>
      <c r="O29" s="36">
        <f>IF(N29&lt;&gt;"",IF(N29='Reference Lists'!$C$2,SUBSTITUTE(TEXT(Data[[#This Row],[Duration Value]],"0,0"),",","."),Data[[#This Row],[Duration Value]]),"")</f>
        <v>16</v>
      </c>
      <c r="P29" s="36" t="str">
        <f t="shared" si="34"/>
        <v>XXX</v>
      </c>
      <c r="Q29" s="36" t="s">
        <v>42</v>
      </c>
      <c r="R29" s="36">
        <f>0</f>
        <v>0</v>
      </c>
      <c r="S29" s="36" t="str">
        <f t="shared" si="35"/>
        <v>XXX</v>
      </c>
      <c r="Z29" s="36" t="str">
        <f t="shared" si="36"/>
        <v>notes</v>
      </c>
      <c r="AA29" s="36" t="str">
        <f>IF(Data[[#This Row],[Notes]]="","",_xlfn.CONCAT("""",SUBSTITUTE(Data[[#This Row],[Notes]],CHAR(10),"%breakline%"),""""))</f>
        <v>"Mains // au sol, épaules basses%breakline%Saisir haltères sur l'arrière%breakline%Inspirer en montant%breakline%Expirer en descendant"</v>
      </c>
      <c r="AB29" s="36" t="str">
        <f t="shared" si="37"/>
        <v>XXX</v>
      </c>
      <c r="AC29" s="27" t="s">
        <v>37</v>
      </c>
      <c r="AD29" s="36">
        <f>Data[[#This Row],[Step n°]]-1</f>
        <v>23</v>
      </c>
      <c r="AE29" s="36" t="str">
        <f t="shared" si="38"/>
        <v>XXX</v>
      </c>
      <c r="AF29" s="36" t="str">
        <f t="shared" si="39"/>
        <v>exercise_category</v>
      </c>
      <c r="AG29" s="36">
        <f>IF(_xlfn.IFNA(VLOOKUP(Data[[#This Row],[Exercise]],Table_Exercises[],2,FALSE),"")="","",_xlfn.IFNA(VLOOKUP(Data[[#This Row],[Exercise]],Table_Exercises[],2,FALSE),""))</f>
        <v>14</v>
      </c>
      <c r="AH29" s="36" t="str">
        <f t="shared" si="40"/>
        <v>XXX</v>
      </c>
      <c r="AI29" s="37" t="str">
        <f t="shared" si="41"/>
        <v>exercise_name</v>
      </c>
      <c r="AJ29" s="36">
        <f>_xlfn.IFNA(IF(VLOOKUP(Data[[#This Row],[Exercise]],Table_Exercises[],3,FALSE)="/","",VLOOKUP(Data[[#This Row],[Exercise]],Table_Exercises[],3,FALSE)),"")</f>
        <v>24</v>
      </c>
      <c r="AK29" s="36" t="str">
        <f t="shared" si="42"/>
        <v>XXX</v>
      </c>
      <c r="AL29" s="27" t="str">
        <f>IF(OR(Data[[#This Row],[Weight]]="",Data[[#This Row],[Weight]]=0),"","exercise_weight")</f>
        <v>exercise_weight</v>
      </c>
      <c r="AM29" s="38" t="str">
        <f>IF(OR(Data[[#This Row],[Weight]]="",Data[[#This Row],[Weight]]=0),"",SUBSTITUTE(TEXT(Data[[#This Row],[Weight]],"0,0"),",","."))</f>
        <v>2.0</v>
      </c>
      <c r="AN29" s="36" t="str">
        <f t="shared" si="43"/>
        <v>XXX</v>
      </c>
      <c r="AO29" s="27" t="str">
        <f t="shared" si="44"/>
        <v>weight_display_unit</v>
      </c>
      <c r="AP29" s="38">
        <f t="shared" si="45"/>
        <v>1</v>
      </c>
      <c r="AQ29" s="36" t="str">
        <f t="shared" si="46"/>
        <v>XXX</v>
      </c>
      <c r="AR29" s="27" t="s">
        <v>39</v>
      </c>
      <c r="AS29" s="36">
        <f>VLOOKUP(Data[[#This Row],[Duration Type]],Table_Duration_Type[],2,FALSE)</f>
        <v>29</v>
      </c>
      <c r="AT29" s="36" t="str">
        <f t="shared" si="47"/>
        <v>XXX</v>
      </c>
      <c r="AU29" s="27" t="s">
        <v>41</v>
      </c>
      <c r="AV29" s="36">
        <f>2</f>
        <v>2</v>
      </c>
      <c r="AW29" s="36" t="str">
        <f t="shared" si="48"/>
        <v>XXX</v>
      </c>
      <c r="AX29" s="27" t="s">
        <v>43</v>
      </c>
      <c r="AY29" s="36">
        <f>VLOOKUP(Data[[#This Row],[Set Type]],Table_Intensity[],2,FALSE)</f>
        <v>0</v>
      </c>
      <c r="AZ29" s="36" t="str">
        <f t="shared" si="49"/>
        <v>XXX</v>
      </c>
      <c r="BA29" s="27" t="s">
        <v>152</v>
      </c>
      <c r="BB29" s="27" t="s">
        <v>152</v>
      </c>
      <c r="BC29" s="27" t="s">
        <v>152</v>
      </c>
      <c r="BD29" s="28" t="str">
        <f>IF(Data[[#This Row],[DataCol1]]&lt;&gt;"",SUBSTITUTE(_xlfn.TEXTJOIN(",",TRUE,Data[[#This Row],[DataCol1]:[DataCol48]]),"XXX",""),"")</f>
        <v>Data,0,workout_step,duration_reps,16,,target_value,0,,notes,"Mains // au sol, épaules basses%breakline%Saisir haltères sur l'arrière%breakline%Inspirer en montant%breakline%Expirer en descendant",,message_index,23,,exercise_category,14,,exercise_name,24,,exercise_weight,2.0,,weight_display_unit,1,,duration_type,29,,target_type,2,,intensity,0,,,,</v>
      </c>
    </row>
    <row r="30" spans="1:56" x14ac:dyDescent="0.25">
      <c r="A30" s="27">
        <v>25</v>
      </c>
      <c r="B30" s="42" t="s">
        <v>65</v>
      </c>
      <c r="C30" s="35"/>
      <c r="D30" s="27" t="s">
        <v>61</v>
      </c>
      <c r="E30" s="27">
        <v>60</v>
      </c>
      <c r="H30" s="27" t="str">
        <f t="shared" si="0"/>
        <v>Data</v>
      </c>
      <c r="I30" s="27">
        <f>0</f>
        <v>0</v>
      </c>
      <c r="J30" s="27" t="str">
        <f t="shared" si="1"/>
        <v>workout_step</v>
      </c>
      <c r="N30" s="36" t="str">
        <f>IF(VLOOKUP(Data[[#This Row],[Duration Type]],Table_Duration_Type[],3,FALSE)="/","",VLOOKUP(Data[[#This Row],[Duration Type]],Table_Duration_Type[],3,FALSE))</f>
        <v>duration_time</v>
      </c>
      <c r="O30" s="36" t="str">
        <f>IF(N30&lt;&gt;"",IF(N30='Reference Lists'!$C$2,SUBSTITUTE(TEXT(Data[[#This Row],[Duration Value]],"0,0"),",","."),Data[[#This Row],[Duration Value]]),"")</f>
        <v>60.0</v>
      </c>
      <c r="P30" s="36" t="str">
        <f t="shared" si="34"/>
        <v>XXX</v>
      </c>
      <c r="Q30" s="36" t="s">
        <v>42</v>
      </c>
      <c r="R30" s="36">
        <f>0</f>
        <v>0</v>
      </c>
      <c r="S30" s="36" t="str">
        <f t="shared" si="35"/>
        <v>XXX</v>
      </c>
      <c r="Z30" s="36" t="str">
        <f t="shared" si="36"/>
        <v/>
      </c>
      <c r="AA30" s="36" t="str">
        <f>IF(Data[[#This Row],[Notes]]="","",_xlfn.CONCAT("""",SUBSTITUTE(Data[[#This Row],[Notes]],CHAR(10),"%breakline%"),""""))</f>
        <v/>
      </c>
      <c r="AB30" s="36" t="str">
        <f t="shared" si="37"/>
        <v/>
      </c>
      <c r="AC30" s="27" t="s">
        <v>37</v>
      </c>
      <c r="AD30" s="36">
        <f>Data[[#This Row],[Step n°]]-1</f>
        <v>24</v>
      </c>
      <c r="AE30" s="36" t="str">
        <f t="shared" si="38"/>
        <v>XXX</v>
      </c>
      <c r="AF30" s="36" t="str">
        <f t="shared" si="39"/>
        <v/>
      </c>
      <c r="AG30" s="36" t="str">
        <f>IF(_xlfn.IFNA(VLOOKUP(Data[[#This Row],[Exercise]],Table_Exercises[],2,FALSE),"")="","",_xlfn.IFNA(VLOOKUP(Data[[#This Row],[Exercise]],Table_Exercises[],2,FALSE),""))</f>
        <v/>
      </c>
      <c r="AH30" s="36" t="str">
        <f t="shared" si="40"/>
        <v/>
      </c>
      <c r="AI30" s="37" t="str">
        <f t="shared" si="41"/>
        <v/>
      </c>
      <c r="AJ30" s="36" t="str">
        <f>_xlfn.IFNA(IF(VLOOKUP(Data[[#This Row],[Exercise]],Table_Exercises[],3,FALSE)="/","",VLOOKUP(Data[[#This Row],[Exercise]],Table_Exercises[],3,FALSE)),"")</f>
        <v/>
      </c>
      <c r="AK30" s="36" t="str">
        <f t="shared" si="42"/>
        <v/>
      </c>
      <c r="AL30" s="27" t="str">
        <f>IF(OR(Data[[#This Row],[Weight]]="",Data[[#This Row],[Weight]]=0),"","exercise_weight")</f>
        <v/>
      </c>
      <c r="AM30" s="38" t="str">
        <f>IF(OR(Data[[#This Row],[Weight]]="",Data[[#This Row],[Weight]]=0),"",SUBSTITUTE(TEXT(Data[[#This Row],[Weight]],"0,0"),",","."))</f>
        <v/>
      </c>
      <c r="AN30" s="36" t="str">
        <f t="shared" si="43"/>
        <v/>
      </c>
      <c r="AO30" s="27" t="str">
        <f t="shared" si="44"/>
        <v/>
      </c>
      <c r="AP30" s="38" t="str">
        <f t="shared" si="45"/>
        <v/>
      </c>
      <c r="AQ30" s="36" t="str">
        <f t="shared" si="46"/>
        <v/>
      </c>
      <c r="AR30" s="27" t="s">
        <v>39</v>
      </c>
      <c r="AS30" s="36">
        <f>VLOOKUP(Data[[#This Row],[Duration Type]],Table_Duration_Type[],2,FALSE)</f>
        <v>0</v>
      </c>
      <c r="AT30" s="36" t="str">
        <f t="shared" si="47"/>
        <v>XXX</v>
      </c>
      <c r="AU30" s="27" t="s">
        <v>41</v>
      </c>
      <c r="AV30" s="36">
        <f>2</f>
        <v>2</v>
      </c>
      <c r="AW30" s="36" t="str">
        <f t="shared" si="48"/>
        <v>XXX</v>
      </c>
      <c r="AX30" s="27" t="s">
        <v>43</v>
      </c>
      <c r="AY30" s="36">
        <f>VLOOKUP(Data[[#This Row],[Set Type]],Table_Intensity[],2,FALSE)</f>
        <v>1</v>
      </c>
      <c r="AZ30" s="36" t="str">
        <f t="shared" si="49"/>
        <v>XXX</v>
      </c>
      <c r="BA30" s="27" t="s">
        <v>152</v>
      </c>
      <c r="BB30" s="27" t="s">
        <v>152</v>
      </c>
      <c r="BC30" s="27" t="s">
        <v>152</v>
      </c>
      <c r="BD30" s="28" t="str">
        <f>IF(Data[[#This Row],[DataCol1]]&lt;&gt;"",SUBSTITUTE(_xlfn.TEXTJOIN(",",TRUE,Data[[#This Row],[DataCol1]:[DataCol48]]),"XXX",""),"")</f>
        <v>Data,0,workout_step,duration_time,60.0,,target_value,0,,message_index,24,,duration_type,0,,target_type,2,,intensity,1,,,,</v>
      </c>
    </row>
    <row r="31" spans="1:56" ht="60" x14ac:dyDescent="0.25">
      <c r="A31" s="27">
        <v>26</v>
      </c>
      <c r="B31" s="42" t="s">
        <v>64</v>
      </c>
      <c r="C31" s="35" t="s">
        <v>249</v>
      </c>
      <c r="D31" s="27" t="s">
        <v>62</v>
      </c>
      <c r="E31" s="27">
        <v>17</v>
      </c>
      <c r="F31" s="27">
        <v>2</v>
      </c>
      <c r="G31" s="39" t="s">
        <v>252</v>
      </c>
      <c r="H31" s="27" t="str">
        <f t="shared" si="0"/>
        <v>Data</v>
      </c>
      <c r="I31" s="27">
        <f>0</f>
        <v>0</v>
      </c>
      <c r="J31" s="27" t="str">
        <f t="shared" si="1"/>
        <v>workout_step</v>
      </c>
      <c r="N31" s="36" t="str">
        <f>IF(VLOOKUP(Data[[#This Row],[Duration Type]],Table_Duration_Type[],3,FALSE)="/","",VLOOKUP(Data[[#This Row],[Duration Type]],Table_Duration_Type[],3,FALSE))</f>
        <v>duration_reps</v>
      </c>
      <c r="O31" s="36">
        <f>IF(N31&lt;&gt;"",IF(N31='Reference Lists'!$C$2,SUBSTITUTE(TEXT(Data[[#This Row],[Duration Value]],"0,0"),",","."),Data[[#This Row],[Duration Value]]),"")</f>
        <v>17</v>
      </c>
      <c r="P31" s="36" t="str">
        <f t="shared" si="34"/>
        <v>XXX</v>
      </c>
      <c r="Q31" s="36" t="s">
        <v>42</v>
      </c>
      <c r="R31" s="36">
        <f>0</f>
        <v>0</v>
      </c>
      <c r="S31" s="36" t="str">
        <f t="shared" si="35"/>
        <v>XXX</v>
      </c>
      <c r="Z31" s="36" t="str">
        <f t="shared" si="36"/>
        <v>notes</v>
      </c>
      <c r="AA31" s="36" t="str">
        <f>IF(Data[[#This Row],[Notes]]="","",_xlfn.CONCAT("""",SUBSTITUTE(Data[[#This Row],[Notes]],CHAR(10),"%breakline%"),""""))</f>
        <v>"Mains // au sol, épaules basses%breakline%Saisir haltères sur l'arrière%breakline%Inspirer en montant%breakline%Expirer en descendant"</v>
      </c>
      <c r="AB31" s="36" t="str">
        <f t="shared" si="37"/>
        <v>XXX</v>
      </c>
      <c r="AC31" s="27" t="s">
        <v>37</v>
      </c>
      <c r="AD31" s="36">
        <f>Data[[#This Row],[Step n°]]-1</f>
        <v>25</v>
      </c>
      <c r="AE31" s="36" t="str">
        <f t="shared" si="38"/>
        <v>XXX</v>
      </c>
      <c r="AF31" s="36" t="str">
        <f t="shared" si="39"/>
        <v>exercise_category</v>
      </c>
      <c r="AG31" s="36">
        <f>IF(_xlfn.IFNA(VLOOKUP(Data[[#This Row],[Exercise]],Table_Exercises[],2,FALSE),"")="","",_xlfn.IFNA(VLOOKUP(Data[[#This Row],[Exercise]],Table_Exercises[],2,FALSE),""))</f>
        <v>14</v>
      </c>
      <c r="AH31" s="36" t="str">
        <f t="shared" si="40"/>
        <v>XXX</v>
      </c>
      <c r="AI31" s="37" t="str">
        <f t="shared" si="41"/>
        <v>exercise_name</v>
      </c>
      <c r="AJ31" s="36">
        <f>_xlfn.IFNA(IF(VLOOKUP(Data[[#This Row],[Exercise]],Table_Exercises[],3,FALSE)="/","",VLOOKUP(Data[[#This Row],[Exercise]],Table_Exercises[],3,FALSE)),"")</f>
        <v>24</v>
      </c>
      <c r="AK31" s="36" t="str">
        <f t="shared" si="42"/>
        <v>XXX</v>
      </c>
      <c r="AL31" s="27" t="str">
        <f>IF(OR(Data[[#This Row],[Weight]]="",Data[[#This Row],[Weight]]=0),"","exercise_weight")</f>
        <v>exercise_weight</v>
      </c>
      <c r="AM31" s="38" t="str">
        <f>IF(OR(Data[[#This Row],[Weight]]="",Data[[#This Row],[Weight]]=0),"",SUBSTITUTE(TEXT(Data[[#This Row],[Weight]],"0,0"),",","."))</f>
        <v>2.0</v>
      </c>
      <c r="AN31" s="36" t="str">
        <f t="shared" si="43"/>
        <v>XXX</v>
      </c>
      <c r="AO31" s="27" t="str">
        <f t="shared" si="44"/>
        <v>weight_display_unit</v>
      </c>
      <c r="AP31" s="38">
        <f t="shared" si="45"/>
        <v>1</v>
      </c>
      <c r="AQ31" s="36" t="str">
        <f t="shared" si="46"/>
        <v>XXX</v>
      </c>
      <c r="AR31" s="27" t="s">
        <v>39</v>
      </c>
      <c r="AS31" s="36">
        <f>VLOOKUP(Data[[#This Row],[Duration Type]],Table_Duration_Type[],2,FALSE)</f>
        <v>29</v>
      </c>
      <c r="AT31" s="36" t="str">
        <f t="shared" si="47"/>
        <v>XXX</v>
      </c>
      <c r="AU31" s="27" t="s">
        <v>41</v>
      </c>
      <c r="AV31" s="36">
        <f>2</f>
        <v>2</v>
      </c>
      <c r="AW31" s="36" t="str">
        <f t="shared" si="48"/>
        <v>XXX</v>
      </c>
      <c r="AX31" s="27" t="s">
        <v>43</v>
      </c>
      <c r="AY31" s="36">
        <f>VLOOKUP(Data[[#This Row],[Set Type]],Table_Intensity[],2,FALSE)</f>
        <v>0</v>
      </c>
      <c r="AZ31" s="36" t="str">
        <f t="shared" si="49"/>
        <v>XXX</v>
      </c>
      <c r="BA31" s="27" t="s">
        <v>152</v>
      </c>
      <c r="BB31" s="27" t="s">
        <v>152</v>
      </c>
      <c r="BC31" s="27" t="s">
        <v>152</v>
      </c>
      <c r="BD31" s="28" t="str">
        <f>IF(Data[[#This Row],[DataCol1]]&lt;&gt;"",SUBSTITUTE(_xlfn.TEXTJOIN(",",TRUE,Data[[#This Row],[DataCol1]:[DataCol48]]),"XXX",""),"")</f>
        <v>Data,0,workout_step,duration_reps,17,,target_value,0,,notes,"Mains // au sol, épaules basses%breakline%Saisir haltères sur l'arrière%breakline%Inspirer en montant%breakline%Expirer en descendant",,message_index,25,,exercise_category,14,,exercise_name,24,,exercise_weight,2.0,,weight_display_unit,1,,duration_type,29,,target_type,2,,intensity,0,,,,</v>
      </c>
    </row>
    <row r="32" spans="1:56" x14ac:dyDescent="0.25">
      <c r="A32" s="27">
        <v>27</v>
      </c>
      <c r="B32" s="42" t="s">
        <v>65</v>
      </c>
      <c r="C32" s="35"/>
      <c r="D32" s="27" t="s">
        <v>61</v>
      </c>
      <c r="E32" s="27">
        <v>60</v>
      </c>
      <c r="H32" s="27" t="str">
        <f t="shared" si="0"/>
        <v>Data</v>
      </c>
      <c r="I32" s="27">
        <f>0</f>
        <v>0</v>
      </c>
      <c r="J32" s="27" t="str">
        <f t="shared" si="1"/>
        <v>workout_step</v>
      </c>
      <c r="N32" s="36" t="str">
        <f>IF(VLOOKUP(Data[[#This Row],[Duration Type]],Table_Duration_Type[],3,FALSE)="/","",VLOOKUP(Data[[#This Row],[Duration Type]],Table_Duration_Type[],3,FALSE))</f>
        <v>duration_time</v>
      </c>
      <c r="O32" s="36" t="str">
        <f>IF(N32&lt;&gt;"",IF(N32='Reference Lists'!$C$2,SUBSTITUTE(TEXT(Data[[#This Row],[Duration Value]],"0,0"),",","."),Data[[#This Row],[Duration Value]]),"")</f>
        <v>60.0</v>
      </c>
      <c r="P32" s="36" t="str">
        <f t="shared" si="34"/>
        <v>XXX</v>
      </c>
      <c r="Q32" s="36" t="s">
        <v>42</v>
      </c>
      <c r="R32" s="36">
        <f>0</f>
        <v>0</v>
      </c>
      <c r="S32" s="36" t="str">
        <f t="shared" si="35"/>
        <v>XXX</v>
      </c>
      <c r="Z32" s="36" t="str">
        <f t="shared" si="36"/>
        <v/>
      </c>
      <c r="AA32" s="36" t="str">
        <f>IF(Data[[#This Row],[Notes]]="","",_xlfn.CONCAT("""",SUBSTITUTE(Data[[#This Row],[Notes]],CHAR(10),"%breakline%"),""""))</f>
        <v/>
      </c>
      <c r="AB32" s="36" t="str">
        <f t="shared" si="37"/>
        <v/>
      </c>
      <c r="AC32" s="27" t="s">
        <v>37</v>
      </c>
      <c r="AD32" s="36">
        <f>Data[[#This Row],[Step n°]]-1</f>
        <v>26</v>
      </c>
      <c r="AE32" s="36" t="str">
        <f t="shared" si="38"/>
        <v>XXX</v>
      </c>
      <c r="AF32" s="36" t="str">
        <f t="shared" si="39"/>
        <v/>
      </c>
      <c r="AG32" s="36" t="str">
        <f>IF(_xlfn.IFNA(VLOOKUP(Data[[#This Row],[Exercise]],Table_Exercises[],2,FALSE),"")="","",_xlfn.IFNA(VLOOKUP(Data[[#This Row],[Exercise]],Table_Exercises[],2,FALSE),""))</f>
        <v/>
      </c>
      <c r="AH32" s="36" t="str">
        <f t="shared" si="40"/>
        <v/>
      </c>
      <c r="AI32" s="37" t="str">
        <f t="shared" si="41"/>
        <v/>
      </c>
      <c r="AJ32" s="36" t="str">
        <f>_xlfn.IFNA(IF(VLOOKUP(Data[[#This Row],[Exercise]],Table_Exercises[],3,FALSE)="/","",VLOOKUP(Data[[#This Row],[Exercise]],Table_Exercises[],3,FALSE)),"")</f>
        <v/>
      </c>
      <c r="AK32" s="36" t="str">
        <f t="shared" si="42"/>
        <v/>
      </c>
      <c r="AL32" s="27" t="str">
        <f>IF(OR(Data[[#This Row],[Weight]]="",Data[[#This Row],[Weight]]=0),"","exercise_weight")</f>
        <v/>
      </c>
      <c r="AM32" s="38" t="str">
        <f>IF(OR(Data[[#This Row],[Weight]]="",Data[[#This Row],[Weight]]=0),"",SUBSTITUTE(TEXT(Data[[#This Row],[Weight]],"0,0"),",","."))</f>
        <v/>
      </c>
      <c r="AN32" s="36" t="str">
        <f t="shared" si="43"/>
        <v/>
      </c>
      <c r="AO32" s="27" t="str">
        <f t="shared" si="44"/>
        <v/>
      </c>
      <c r="AP32" s="38" t="str">
        <f t="shared" si="45"/>
        <v/>
      </c>
      <c r="AQ32" s="36" t="str">
        <f t="shared" si="46"/>
        <v/>
      </c>
      <c r="AR32" s="27" t="s">
        <v>39</v>
      </c>
      <c r="AS32" s="36">
        <f>VLOOKUP(Data[[#This Row],[Duration Type]],Table_Duration_Type[],2,FALSE)</f>
        <v>0</v>
      </c>
      <c r="AT32" s="36" t="str">
        <f t="shared" si="47"/>
        <v>XXX</v>
      </c>
      <c r="AU32" s="27" t="s">
        <v>41</v>
      </c>
      <c r="AV32" s="36">
        <f>2</f>
        <v>2</v>
      </c>
      <c r="AW32" s="36" t="str">
        <f t="shared" si="48"/>
        <v>XXX</v>
      </c>
      <c r="AX32" s="27" t="s">
        <v>43</v>
      </c>
      <c r="AY32" s="36">
        <f>VLOOKUP(Data[[#This Row],[Set Type]],Table_Intensity[],2,FALSE)</f>
        <v>1</v>
      </c>
      <c r="AZ32" s="36" t="str">
        <f t="shared" si="49"/>
        <v>XXX</v>
      </c>
      <c r="BA32" s="27" t="s">
        <v>152</v>
      </c>
      <c r="BB32" s="27" t="s">
        <v>152</v>
      </c>
      <c r="BC32" s="27" t="s">
        <v>152</v>
      </c>
      <c r="BD32" s="28" t="str">
        <f>IF(Data[[#This Row],[DataCol1]]&lt;&gt;"",SUBSTITUTE(_xlfn.TEXTJOIN(",",TRUE,Data[[#This Row],[DataCol1]:[DataCol48]]),"XXX",""),"")</f>
        <v>Data,0,workout_step,duration_time,60.0,,target_value,0,,message_index,26,,duration_type,0,,target_type,2,,intensity,1,,,,</v>
      </c>
    </row>
    <row r="33" spans="1:56" ht="60" x14ac:dyDescent="0.25">
      <c r="A33" s="27">
        <v>28</v>
      </c>
      <c r="B33" s="42" t="s">
        <v>105</v>
      </c>
      <c r="C33" s="35" t="s">
        <v>247</v>
      </c>
      <c r="D33" s="27" t="s">
        <v>62</v>
      </c>
      <c r="E33" s="27">
        <v>8</v>
      </c>
      <c r="F33" s="27">
        <v>2</v>
      </c>
      <c r="G33" s="39" t="s">
        <v>253</v>
      </c>
      <c r="H33" s="27" t="str">
        <f t="shared" si="0"/>
        <v>Data</v>
      </c>
      <c r="I33" s="27">
        <f>0</f>
        <v>0</v>
      </c>
      <c r="J33" s="27" t="str">
        <f t="shared" si="1"/>
        <v>workout_step</v>
      </c>
      <c r="N33" s="36" t="str">
        <f>IF(VLOOKUP(Data[[#This Row],[Duration Type]],Table_Duration_Type[],3,FALSE)="/","",VLOOKUP(Data[[#This Row],[Duration Type]],Table_Duration_Type[],3,FALSE))</f>
        <v>duration_reps</v>
      </c>
      <c r="O33" s="36">
        <f>IF(N33&lt;&gt;"",IF(N33='Reference Lists'!$C$2,SUBSTITUTE(TEXT(Data[[#This Row],[Duration Value]],"0,0"),",","."),Data[[#This Row],[Duration Value]]),"")</f>
        <v>8</v>
      </c>
      <c r="P33" s="36" t="str">
        <f t="shared" si="34"/>
        <v>XXX</v>
      </c>
      <c r="Q33" s="36" t="s">
        <v>42</v>
      </c>
      <c r="R33" s="36">
        <f>0</f>
        <v>0</v>
      </c>
      <c r="S33" s="36" t="str">
        <f t="shared" si="35"/>
        <v>XXX</v>
      </c>
      <c r="Z33" s="36" t="str">
        <f t="shared" si="36"/>
        <v>notes</v>
      </c>
      <c r="AA33" s="36" t="str">
        <f>IF(Data[[#This Row],[Notes]]="","",_xlfn.CONCAT("""",SUBSTITUTE(Data[[#This Row],[Notes]],CHAR(10),"%breakline%"),""""))</f>
        <v>"Rotation poignet%breakline%Pas tendre le bras en bas%breakline%Inspirer en descendant%breakline%Expirer en montant"</v>
      </c>
      <c r="AB33" s="36" t="str">
        <f t="shared" si="37"/>
        <v>XXX</v>
      </c>
      <c r="AC33" s="27" t="s">
        <v>37</v>
      </c>
      <c r="AD33" s="36">
        <f>Data[[#This Row],[Step n°]]-1</f>
        <v>27</v>
      </c>
      <c r="AE33" s="36" t="str">
        <f t="shared" si="38"/>
        <v>XXX</v>
      </c>
      <c r="AF33" s="36" t="str">
        <f t="shared" si="39"/>
        <v>exercise_category</v>
      </c>
      <c r="AG33" s="36">
        <f>IF(_xlfn.IFNA(VLOOKUP(Data[[#This Row],[Exercise]],Table_Exercises[],2,FALSE),"")="","",_xlfn.IFNA(VLOOKUP(Data[[#This Row],[Exercise]],Table_Exercises[],2,FALSE),""))</f>
        <v>7</v>
      </c>
      <c r="AH33" s="36" t="str">
        <f t="shared" si="40"/>
        <v>XXX</v>
      </c>
      <c r="AI33" s="37" t="str">
        <f t="shared" si="41"/>
        <v>exercise_name</v>
      </c>
      <c r="AJ33" s="36">
        <f>_xlfn.IFNA(IF(VLOOKUP(Data[[#This Row],[Exercise]],Table_Exercises[],3,FALSE)="/","",VLOOKUP(Data[[#This Row],[Exercise]],Table_Exercises[],3,FALSE)),"")</f>
        <v>32</v>
      </c>
      <c r="AK33" s="36" t="str">
        <f t="shared" si="42"/>
        <v>XXX</v>
      </c>
      <c r="AL33" s="27" t="str">
        <f>IF(OR(Data[[#This Row],[Weight]]="",Data[[#This Row],[Weight]]=0),"","exercise_weight")</f>
        <v>exercise_weight</v>
      </c>
      <c r="AM33" s="38" t="str">
        <f>IF(OR(Data[[#This Row],[Weight]]="",Data[[#This Row],[Weight]]=0),"",SUBSTITUTE(TEXT(Data[[#This Row],[Weight]],"0,0"),",","."))</f>
        <v>2.0</v>
      </c>
      <c r="AN33" s="36" t="str">
        <f t="shared" si="43"/>
        <v>XXX</v>
      </c>
      <c r="AO33" s="27" t="str">
        <f t="shared" si="44"/>
        <v>weight_display_unit</v>
      </c>
      <c r="AP33" s="38">
        <f t="shared" si="45"/>
        <v>1</v>
      </c>
      <c r="AQ33" s="36" t="str">
        <f t="shared" si="46"/>
        <v>XXX</v>
      </c>
      <c r="AR33" s="27" t="s">
        <v>39</v>
      </c>
      <c r="AS33" s="36">
        <f>VLOOKUP(Data[[#This Row],[Duration Type]],Table_Duration_Type[],2,FALSE)</f>
        <v>29</v>
      </c>
      <c r="AT33" s="36" t="str">
        <f t="shared" si="47"/>
        <v>XXX</v>
      </c>
      <c r="AU33" s="27" t="s">
        <v>41</v>
      </c>
      <c r="AV33" s="36">
        <f>2</f>
        <v>2</v>
      </c>
      <c r="AW33" s="36" t="str">
        <f t="shared" si="48"/>
        <v>XXX</v>
      </c>
      <c r="AX33" s="27" t="s">
        <v>43</v>
      </c>
      <c r="AY33" s="36">
        <f>VLOOKUP(Data[[#This Row],[Set Type]],Table_Intensity[],2,FALSE)</f>
        <v>2</v>
      </c>
      <c r="AZ33" s="36" t="str">
        <f t="shared" si="49"/>
        <v>XXX</v>
      </c>
      <c r="BA33" s="27" t="s">
        <v>152</v>
      </c>
      <c r="BB33" s="27" t="s">
        <v>152</v>
      </c>
      <c r="BC33" s="27" t="s">
        <v>152</v>
      </c>
      <c r="BD33" s="28" t="str">
        <f>IF(Data[[#This Row],[DataCol1]]&lt;&gt;"",SUBSTITUTE(_xlfn.TEXTJOIN(",",TRUE,Data[[#This Row],[DataCol1]:[DataCol48]]),"XXX",""),"")</f>
        <v>Data,0,workout_step,duration_reps,8,,target_value,0,,notes,"Rotation poignet%breakline%Pas tendre le bras en bas%breakline%Inspirer en descendant%breakline%Expirer en montant",,message_index,27,,exercise_category,7,,exercise_name,32,,exercise_weight,2.0,,weight_display_unit,1,,duration_type,29,,target_type,2,,intensity,2,,,,</v>
      </c>
    </row>
    <row r="34" spans="1:56" x14ac:dyDescent="0.25">
      <c r="A34" s="27">
        <v>29</v>
      </c>
      <c r="B34" s="42" t="s">
        <v>65</v>
      </c>
      <c r="C34" s="35"/>
      <c r="D34" s="27" t="s">
        <v>79</v>
      </c>
      <c r="H34" s="27" t="str">
        <f t="shared" si="0"/>
        <v>Data</v>
      </c>
      <c r="I34" s="27">
        <f>0</f>
        <v>0</v>
      </c>
      <c r="J34" s="27" t="str">
        <f t="shared" si="1"/>
        <v>workout_step</v>
      </c>
      <c r="N34" s="36" t="str">
        <f>IF(VLOOKUP(Data[[#This Row],[Duration Type]],Table_Duration_Type[],3,FALSE)="/","",VLOOKUP(Data[[#This Row],[Duration Type]],Table_Duration_Type[],3,FALSE))</f>
        <v/>
      </c>
      <c r="O34" s="36" t="str">
        <f>IF(N34&lt;&gt;"",IF(N34='Reference Lists'!$C$2,SUBSTITUTE(TEXT(Data[[#This Row],[Duration Value]],"0,0"),",","."),Data[[#This Row],[Duration Value]]),"")</f>
        <v/>
      </c>
      <c r="P34" s="36" t="str">
        <f t="shared" si="34"/>
        <v/>
      </c>
      <c r="Q34" s="36" t="s">
        <v>42</v>
      </c>
      <c r="R34" s="36">
        <f>0</f>
        <v>0</v>
      </c>
      <c r="S34" s="36" t="str">
        <f t="shared" si="35"/>
        <v>XXX</v>
      </c>
      <c r="Z34" s="36" t="str">
        <f t="shared" si="36"/>
        <v/>
      </c>
      <c r="AA34" s="36" t="str">
        <f>IF(Data[[#This Row],[Notes]]="","",_xlfn.CONCAT("""",SUBSTITUTE(Data[[#This Row],[Notes]],CHAR(10),"%breakline%"),""""))</f>
        <v/>
      </c>
      <c r="AB34" s="36" t="str">
        <f t="shared" si="37"/>
        <v/>
      </c>
      <c r="AC34" s="27" t="s">
        <v>37</v>
      </c>
      <c r="AD34" s="36">
        <f>Data[[#This Row],[Step n°]]-1</f>
        <v>28</v>
      </c>
      <c r="AE34" s="36" t="str">
        <f t="shared" si="38"/>
        <v>XXX</v>
      </c>
      <c r="AF34" s="36" t="str">
        <f t="shared" si="39"/>
        <v/>
      </c>
      <c r="AG34" s="36" t="str">
        <f>IF(_xlfn.IFNA(VLOOKUP(Data[[#This Row],[Exercise]],Table_Exercises[],2,FALSE),"")="","",_xlfn.IFNA(VLOOKUP(Data[[#This Row],[Exercise]],Table_Exercises[],2,FALSE),""))</f>
        <v/>
      </c>
      <c r="AH34" s="36" t="str">
        <f t="shared" si="40"/>
        <v/>
      </c>
      <c r="AI34" s="37" t="str">
        <f t="shared" si="41"/>
        <v/>
      </c>
      <c r="AJ34" s="36" t="str">
        <f>_xlfn.IFNA(IF(VLOOKUP(Data[[#This Row],[Exercise]],Table_Exercises[],3,FALSE)="/","",VLOOKUP(Data[[#This Row],[Exercise]],Table_Exercises[],3,FALSE)),"")</f>
        <v/>
      </c>
      <c r="AK34" s="36" t="str">
        <f t="shared" si="42"/>
        <v/>
      </c>
      <c r="AL34" s="27" t="str">
        <f>IF(OR(Data[[#This Row],[Weight]]="",Data[[#This Row],[Weight]]=0),"","exercise_weight")</f>
        <v/>
      </c>
      <c r="AM34" s="38" t="str">
        <f>IF(OR(Data[[#This Row],[Weight]]="",Data[[#This Row],[Weight]]=0),"",SUBSTITUTE(TEXT(Data[[#This Row],[Weight]],"0,0"),",","."))</f>
        <v/>
      </c>
      <c r="AN34" s="36" t="str">
        <f t="shared" si="43"/>
        <v/>
      </c>
      <c r="AO34" s="27" t="str">
        <f t="shared" si="44"/>
        <v/>
      </c>
      <c r="AP34" s="38" t="str">
        <f t="shared" si="45"/>
        <v/>
      </c>
      <c r="AQ34" s="36" t="str">
        <f t="shared" si="46"/>
        <v/>
      </c>
      <c r="AR34" s="27" t="s">
        <v>39</v>
      </c>
      <c r="AS34" s="36">
        <f>VLOOKUP(Data[[#This Row],[Duration Type]],Table_Duration_Type[],2,FALSE)</f>
        <v>5</v>
      </c>
      <c r="AT34" s="36" t="str">
        <f t="shared" si="47"/>
        <v>XXX</v>
      </c>
      <c r="AU34" s="27" t="s">
        <v>41</v>
      </c>
      <c r="AV34" s="36">
        <f>2</f>
        <v>2</v>
      </c>
      <c r="AW34" s="36" t="str">
        <f t="shared" si="48"/>
        <v>XXX</v>
      </c>
      <c r="AX34" s="27" t="s">
        <v>43</v>
      </c>
      <c r="AY34" s="36">
        <f>VLOOKUP(Data[[#This Row],[Set Type]],Table_Intensity[],2,FALSE)</f>
        <v>1</v>
      </c>
      <c r="AZ34" s="36" t="str">
        <f t="shared" si="49"/>
        <v>XXX</v>
      </c>
      <c r="BA34" s="27" t="s">
        <v>152</v>
      </c>
      <c r="BB34" s="27" t="s">
        <v>152</v>
      </c>
      <c r="BC34" s="27" t="s">
        <v>152</v>
      </c>
      <c r="BD34" s="28" t="str">
        <f>IF(Data[[#This Row],[DataCol1]]&lt;&gt;"",SUBSTITUTE(_xlfn.TEXTJOIN(",",TRUE,Data[[#This Row],[DataCol1]:[DataCol48]]),"XXX",""),"")</f>
        <v>Data,0,workout_step,target_value,0,,message_index,28,,duration_type,5,,target_type,2,,intensity,1,,,,</v>
      </c>
    </row>
    <row r="35" spans="1:56" ht="60" x14ac:dyDescent="0.25">
      <c r="A35" s="27">
        <v>30</v>
      </c>
      <c r="B35" s="42" t="s">
        <v>64</v>
      </c>
      <c r="C35" s="35" t="s">
        <v>247</v>
      </c>
      <c r="D35" s="27" t="s">
        <v>62</v>
      </c>
      <c r="E35" s="27">
        <v>16</v>
      </c>
      <c r="F35" s="27">
        <v>4</v>
      </c>
      <c r="G35" s="39" t="s">
        <v>253</v>
      </c>
      <c r="H35" s="27" t="str">
        <f t="shared" si="0"/>
        <v>Data</v>
      </c>
      <c r="I35" s="27">
        <f>0</f>
        <v>0</v>
      </c>
      <c r="J35" s="27" t="str">
        <f t="shared" si="1"/>
        <v>workout_step</v>
      </c>
      <c r="N35" s="36" t="str">
        <f>IF(VLOOKUP(Data[[#This Row],[Duration Type]],Table_Duration_Type[],3,FALSE)="/","",VLOOKUP(Data[[#This Row],[Duration Type]],Table_Duration_Type[],3,FALSE))</f>
        <v>duration_reps</v>
      </c>
      <c r="O35" s="36">
        <f>IF(N35&lt;&gt;"",IF(N35='Reference Lists'!$C$2,SUBSTITUTE(TEXT(Data[[#This Row],[Duration Value]],"0,0"),",","."),Data[[#This Row],[Duration Value]]),"")</f>
        <v>16</v>
      </c>
      <c r="P35" s="36" t="str">
        <f t="shared" si="34"/>
        <v>XXX</v>
      </c>
      <c r="Q35" s="36" t="s">
        <v>42</v>
      </c>
      <c r="R35" s="36">
        <f>0</f>
        <v>0</v>
      </c>
      <c r="S35" s="36" t="str">
        <f t="shared" si="35"/>
        <v>XXX</v>
      </c>
      <c r="Z35" s="36" t="str">
        <f t="shared" si="36"/>
        <v>notes</v>
      </c>
      <c r="AA35" s="36" t="str">
        <f>IF(Data[[#This Row],[Notes]]="","",_xlfn.CONCAT("""",SUBSTITUTE(Data[[#This Row],[Notes]],CHAR(10),"%breakline%"),""""))</f>
        <v>"Rotation poignet%breakline%Pas tendre le bras en bas%breakline%Inspirer en descendant%breakline%Expirer en montant"</v>
      </c>
      <c r="AB35" s="36" t="str">
        <f t="shared" si="37"/>
        <v>XXX</v>
      </c>
      <c r="AC35" s="27" t="s">
        <v>37</v>
      </c>
      <c r="AD35" s="36">
        <f>Data[[#This Row],[Step n°]]-1</f>
        <v>29</v>
      </c>
      <c r="AE35" s="36" t="str">
        <f t="shared" si="38"/>
        <v>XXX</v>
      </c>
      <c r="AF35" s="36" t="str">
        <f t="shared" si="39"/>
        <v>exercise_category</v>
      </c>
      <c r="AG35" s="36">
        <f>IF(_xlfn.IFNA(VLOOKUP(Data[[#This Row],[Exercise]],Table_Exercises[],2,FALSE),"")="","",_xlfn.IFNA(VLOOKUP(Data[[#This Row],[Exercise]],Table_Exercises[],2,FALSE),""))</f>
        <v>7</v>
      </c>
      <c r="AH35" s="36" t="str">
        <f t="shared" si="40"/>
        <v>XXX</v>
      </c>
      <c r="AI35" s="37" t="str">
        <f t="shared" si="41"/>
        <v>exercise_name</v>
      </c>
      <c r="AJ35" s="36">
        <f>_xlfn.IFNA(IF(VLOOKUP(Data[[#This Row],[Exercise]],Table_Exercises[],3,FALSE)="/","",VLOOKUP(Data[[#This Row],[Exercise]],Table_Exercises[],3,FALSE)),"")</f>
        <v>32</v>
      </c>
      <c r="AK35" s="36" t="str">
        <f t="shared" si="42"/>
        <v>XXX</v>
      </c>
      <c r="AL35" s="27" t="str">
        <f>IF(OR(Data[[#This Row],[Weight]]="",Data[[#This Row],[Weight]]=0),"","exercise_weight")</f>
        <v>exercise_weight</v>
      </c>
      <c r="AM35" s="38" t="str">
        <f>IF(OR(Data[[#This Row],[Weight]]="",Data[[#This Row],[Weight]]=0),"",SUBSTITUTE(TEXT(Data[[#This Row],[Weight]],"0,0"),",","."))</f>
        <v>4.0</v>
      </c>
      <c r="AN35" s="36" t="str">
        <f t="shared" si="43"/>
        <v>XXX</v>
      </c>
      <c r="AO35" s="27" t="str">
        <f t="shared" si="44"/>
        <v>weight_display_unit</v>
      </c>
      <c r="AP35" s="38">
        <f t="shared" si="45"/>
        <v>1</v>
      </c>
      <c r="AQ35" s="36" t="str">
        <f t="shared" si="46"/>
        <v>XXX</v>
      </c>
      <c r="AR35" s="27" t="s">
        <v>39</v>
      </c>
      <c r="AS35" s="36">
        <f>VLOOKUP(Data[[#This Row],[Duration Type]],Table_Duration_Type[],2,FALSE)</f>
        <v>29</v>
      </c>
      <c r="AT35" s="36" t="str">
        <f t="shared" si="47"/>
        <v>XXX</v>
      </c>
      <c r="AU35" s="27" t="s">
        <v>41</v>
      </c>
      <c r="AV35" s="36">
        <f>2</f>
        <v>2</v>
      </c>
      <c r="AW35" s="36" t="str">
        <f t="shared" si="48"/>
        <v>XXX</v>
      </c>
      <c r="AX35" s="27" t="s">
        <v>43</v>
      </c>
      <c r="AY35" s="36">
        <f>VLOOKUP(Data[[#This Row],[Set Type]],Table_Intensity[],2,FALSE)</f>
        <v>0</v>
      </c>
      <c r="AZ35" s="36" t="str">
        <f t="shared" si="49"/>
        <v>XXX</v>
      </c>
      <c r="BA35" s="27" t="s">
        <v>152</v>
      </c>
      <c r="BB35" s="27" t="s">
        <v>152</v>
      </c>
      <c r="BC35" s="27" t="s">
        <v>152</v>
      </c>
      <c r="BD35" s="28" t="str">
        <f>IF(Data[[#This Row],[DataCol1]]&lt;&gt;"",SUBSTITUTE(_xlfn.TEXTJOIN(",",TRUE,Data[[#This Row],[DataCol1]:[DataCol48]]),"XXX",""),"")</f>
        <v>Data,0,workout_step,duration_reps,16,,target_value,0,,notes,"Rotation poignet%breakline%Pas tendre le bras en bas%breakline%Inspirer en descendant%breakline%Expirer en montant",,message_index,29,,exercise_category,7,,exercise_name,32,,exercise_weight,4.0,,weight_display_unit,1,,duration_type,29,,target_type,2,,intensity,0,,,,</v>
      </c>
    </row>
    <row r="36" spans="1:56" x14ac:dyDescent="0.25">
      <c r="A36" s="27">
        <v>31</v>
      </c>
      <c r="B36" s="42" t="s">
        <v>65</v>
      </c>
      <c r="C36" s="35"/>
      <c r="D36" s="27" t="s">
        <v>61</v>
      </c>
      <c r="E36" s="27">
        <v>60</v>
      </c>
      <c r="H36" s="27" t="str">
        <f t="shared" si="0"/>
        <v>Data</v>
      </c>
      <c r="I36" s="27">
        <f>0</f>
        <v>0</v>
      </c>
      <c r="J36" s="27" t="str">
        <f t="shared" si="1"/>
        <v>workout_step</v>
      </c>
      <c r="N36" s="36" t="str">
        <f>IF(VLOOKUP(Data[[#This Row],[Duration Type]],Table_Duration_Type[],3,FALSE)="/","",VLOOKUP(Data[[#This Row],[Duration Type]],Table_Duration_Type[],3,FALSE))</f>
        <v>duration_time</v>
      </c>
      <c r="O36" s="36" t="str">
        <f>IF(N36&lt;&gt;"",IF(N36='Reference Lists'!$C$2,SUBSTITUTE(TEXT(Data[[#This Row],[Duration Value]],"0,0"),",","."),Data[[#This Row],[Duration Value]]),"")</f>
        <v>60.0</v>
      </c>
      <c r="P36" s="36" t="str">
        <f t="shared" si="34"/>
        <v>XXX</v>
      </c>
      <c r="Q36" s="36" t="s">
        <v>42</v>
      </c>
      <c r="R36" s="36">
        <f>0</f>
        <v>0</v>
      </c>
      <c r="S36" s="36" t="str">
        <f t="shared" si="35"/>
        <v>XXX</v>
      </c>
      <c r="Z36" s="36" t="str">
        <f t="shared" si="36"/>
        <v/>
      </c>
      <c r="AA36" s="36" t="str">
        <f>IF(Data[[#This Row],[Notes]]="","",_xlfn.CONCAT("""",SUBSTITUTE(Data[[#This Row],[Notes]],CHAR(10),"%breakline%"),""""))</f>
        <v/>
      </c>
      <c r="AB36" s="36" t="str">
        <f t="shared" si="37"/>
        <v/>
      </c>
      <c r="AC36" s="27" t="s">
        <v>37</v>
      </c>
      <c r="AD36" s="36">
        <f>Data[[#This Row],[Step n°]]-1</f>
        <v>30</v>
      </c>
      <c r="AE36" s="36" t="str">
        <f t="shared" si="38"/>
        <v>XXX</v>
      </c>
      <c r="AF36" s="36" t="str">
        <f t="shared" si="39"/>
        <v/>
      </c>
      <c r="AG36" s="36" t="str">
        <f>IF(_xlfn.IFNA(VLOOKUP(Data[[#This Row],[Exercise]],Table_Exercises[],2,FALSE),"")="","",_xlfn.IFNA(VLOOKUP(Data[[#This Row],[Exercise]],Table_Exercises[],2,FALSE),""))</f>
        <v/>
      </c>
      <c r="AH36" s="36" t="str">
        <f t="shared" si="40"/>
        <v/>
      </c>
      <c r="AI36" s="37" t="str">
        <f t="shared" si="41"/>
        <v/>
      </c>
      <c r="AJ36" s="36" t="str">
        <f>_xlfn.IFNA(IF(VLOOKUP(Data[[#This Row],[Exercise]],Table_Exercises[],3,FALSE)="/","",VLOOKUP(Data[[#This Row],[Exercise]],Table_Exercises[],3,FALSE)),"")</f>
        <v/>
      </c>
      <c r="AK36" s="36" t="str">
        <f t="shared" si="42"/>
        <v/>
      </c>
      <c r="AL36" s="27" t="str">
        <f>IF(OR(Data[[#This Row],[Weight]]="",Data[[#This Row],[Weight]]=0),"","exercise_weight")</f>
        <v/>
      </c>
      <c r="AM36" s="38" t="str">
        <f>IF(OR(Data[[#This Row],[Weight]]="",Data[[#This Row],[Weight]]=0),"",SUBSTITUTE(TEXT(Data[[#This Row],[Weight]],"0,0"),",","."))</f>
        <v/>
      </c>
      <c r="AN36" s="36" t="str">
        <f t="shared" si="43"/>
        <v/>
      </c>
      <c r="AO36" s="27" t="str">
        <f t="shared" si="44"/>
        <v/>
      </c>
      <c r="AP36" s="38" t="str">
        <f t="shared" si="45"/>
        <v/>
      </c>
      <c r="AQ36" s="36" t="str">
        <f t="shared" si="46"/>
        <v/>
      </c>
      <c r="AR36" s="27" t="s">
        <v>39</v>
      </c>
      <c r="AS36" s="36">
        <f>VLOOKUP(Data[[#This Row],[Duration Type]],Table_Duration_Type[],2,FALSE)</f>
        <v>0</v>
      </c>
      <c r="AT36" s="36" t="str">
        <f t="shared" si="47"/>
        <v>XXX</v>
      </c>
      <c r="AU36" s="27" t="s">
        <v>41</v>
      </c>
      <c r="AV36" s="36">
        <f>2</f>
        <v>2</v>
      </c>
      <c r="AW36" s="36" t="str">
        <f t="shared" si="48"/>
        <v>XXX</v>
      </c>
      <c r="AX36" s="27" t="s">
        <v>43</v>
      </c>
      <c r="AY36" s="36">
        <f>VLOOKUP(Data[[#This Row],[Set Type]],Table_Intensity[],2,FALSE)</f>
        <v>1</v>
      </c>
      <c r="AZ36" s="36" t="str">
        <f t="shared" si="49"/>
        <v>XXX</v>
      </c>
      <c r="BA36" s="27" t="s">
        <v>152</v>
      </c>
      <c r="BB36" s="27" t="s">
        <v>152</v>
      </c>
      <c r="BC36" s="27" t="s">
        <v>152</v>
      </c>
      <c r="BD36" s="28" t="str">
        <f>IF(Data[[#This Row],[DataCol1]]&lt;&gt;"",SUBSTITUTE(_xlfn.TEXTJOIN(",",TRUE,Data[[#This Row],[DataCol1]:[DataCol48]]),"XXX",""),"")</f>
        <v>Data,0,workout_step,duration_time,60.0,,target_value,0,,message_index,30,,duration_type,0,,target_type,2,,intensity,1,,,,</v>
      </c>
    </row>
    <row r="37" spans="1:56" ht="60" x14ac:dyDescent="0.25">
      <c r="A37" s="27">
        <v>32</v>
      </c>
      <c r="B37" s="42" t="s">
        <v>64</v>
      </c>
      <c r="C37" s="35" t="s">
        <v>247</v>
      </c>
      <c r="D37" s="27" t="s">
        <v>62</v>
      </c>
      <c r="E37" s="27">
        <v>16</v>
      </c>
      <c r="F37" s="27">
        <v>4</v>
      </c>
      <c r="G37" s="39" t="s">
        <v>253</v>
      </c>
      <c r="H37" s="27" t="str">
        <f t="shared" si="0"/>
        <v>Data</v>
      </c>
      <c r="I37" s="27">
        <f>0</f>
        <v>0</v>
      </c>
      <c r="J37" s="27" t="str">
        <f t="shared" si="1"/>
        <v>workout_step</v>
      </c>
      <c r="N37" s="36" t="str">
        <f>IF(VLOOKUP(Data[[#This Row],[Duration Type]],Table_Duration_Type[],3,FALSE)="/","",VLOOKUP(Data[[#This Row],[Duration Type]],Table_Duration_Type[],3,FALSE))</f>
        <v>duration_reps</v>
      </c>
      <c r="O37" s="36">
        <f>IF(N37&lt;&gt;"",IF(N37='Reference Lists'!$C$2,SUBSTITUTE(TEXT(Data[[#This Row],[Duration Value]],"0,0"),",","."),Data[[#This Row],[Duration Value]]),"")</f>
        <v>16</v>
      </c>
      <c r="P37" s="36" t="str">
        <f t="shared" si="34"/>
        <v>XXX</v>
      </c>
      <c r="Q37" s="36" t="s">
        <v>42</v>
      </c>
      <c r="R37" s="36">
        <f>0</f>
        <v>0</v>
      </c>
      <c r="S37" s="36" t="str">
        <f t="shared" si="35"/>
        <v>XXX</v>
      </c>
      <c r="Z37" s="36" t="str">
        <f t="shared" si="36"/>
        <v>notes</v>
      </c>
      <c r="AA37" s="36" t="str">
        <f>IF(Data[[#This Row],[Notes]]="","",_xlfn.CONCAT("""",SUBSTITUTE(Data[[#This Row],[Notes]],CHAR(10),"%breakline%"),""""))</f>
        <v>"Rotation poignet%breakline%Pas tendre le bras en bas%breakline%Inspirer en descendant%breakline%Expirer en montant"</v>
      </c>
      <c r="AB37" s="36" t="str">
        <f t="shared" si="37"/>
        <v>XXX</v>
      </c>
      <c r="AC37" s="27" t="s">
        <v>37</v>
      </c>
      <c r="AD37" s="36">
        <f>Data[[#This Row],[Step n°]]-1</f>
        <v>31</v>
      </c>
      <c r="AE37" s="36" t="str">
        <f t="shared" si="38"/>
        <v>XXX</v>
      </c>
      <c r="AF37" s="36" t="str">
        <f t="shared" si="39"/>
        <v>exercise_category</v>
      </c>
      <c r="AG37" s="36">
        <f>IF(_xlfn.IFNA(VLOOKUP(Data[[#This Row],[Exercise]],Table_Exercises[],2,FALSE),"")="","",_xlfn.IFNA(VLOOKUP(Data[[#This Row],[Exercise]],Table_Exercises[],2,FALSE),""))</f>
        <v>7</v>
      </c>
      <c r="AH37" s="36" t="str">
        <f t="shared" si="40"/>
        <v>XXX</v>
      </c>
      <c r="AI37" s="37" t="str">
        <f t="shared" si="41"/>
        <v>exercise_name</v>
      </c>
      <c r="AJ37" s="36">
        <f>_xlfn.IFNA(IF(VLOOKUP(Data[[#This Row],[Exercise]],Table_Exercises[],3,FALSE)="/","",VLOOKUP(Data[[#This Row],[Exercise]],Table_Exercises[],3,FALSE)),"")</f>
        <v>32</v>
      </c>
      <c r="AK37" s="36" t="str">
        <f t="shared" si="42"/>
        <v>XXX</v>
      </c>
      <c r="AL37" s="27" t="str">
        <f>IF(OR(Data[[#This Row],[Weight]]="",Data[[#This Row],[Weight]]=0),"","exercise_weight")</f>
        <v>exercise_weight</v>
      </c>
      <c r="AM37" s="38" t="str">
        <f>IF(OR(Data[[#This Row],[Weight]]="",Data[[#This Row],[Weight]]=0),"",SUBSTITUTE(TEXT(Data[[#This Row],[Weight]],"0,0"),",","."))</f>
        <v>4.0</v>
      </c>
      <c r="AN37" s="36" t="str">
        <f t="shared" si="43"/>
        <v>XXX</v>
      </c>
      <c r="AO37" s="27" t="str">
        <f t="shared" si="44"/>
        <v>weight_display_unit</v>
      </c>
      <c r="AP37" s="38">
        <f t="shared" si="45"/>
        <v>1</v>
      </c>
      <c r="AQ37" s="36" t="str">
        <f t="shared" si="46"/>
        <v>XXX</v>
      </c>
      <c r="AR37" s="27" t="s">
        <v>39</v>
      </c>
      <c r="AS37" s="36">
        <f>VLOOKUP(Data[[#This Row],[Duration Type]],Table_Duration_Type[],2,FALSE)</f>
        <v>29</v>
      </c>
      <c r="AT37" s="36" t="str">
        <f t="shared" si="47"/>
        <v>XXX</v>
      </c>
      <c r="AU37" s="27" t="s">
        <v>41</v>
      </c>
      <c r="AV37" s="36">
        <f>2</f>
        <v>2</v>
      </c>
      <c r="AW37" s="36" t="str">
        <f t="shared" si="48"/>
        <v>XXX</v>
      </c>
      <c r="AX37" s="27" t="s">
        <v>43</v>
      </c>
      <c r="AY37" s="36">
        <f>VLOOKUP(Data[[#This Row],[Set Type]],Table_Intensity[],2,FALSE)</f>
        <v>0</v>
      </c>
      <c r="AZ37" s="36" t="str">
        <f t="shared" si="49"/>
        <v>XXX</v>
      </c>
      <c r="BA37" s="27" t="s">
        <v>152</v>
      </c>
      <c r="BB37" s="27" t="s">
        <v>152</v>
      </c>
      <c r="BC37" s="27" t="s">
        <v>152</v>
      </c>
      <c r="BD37" s="28" t="str">
        <f>IF(Data[[#This Row],[DataCol1]]&lt;&gt;"",SUBSTITUTE(_xlfn.TEXTJOIN(",",TRUE,Data[[#This Row],[DataCol1]:[DataCol48]]),"XXX",""),"")</f>
        <v>Data,0,workout_step,duration_reps,16,,target_value,0,,notes,"Rotation poignet%breakline%Pas tendre le bras en bas%breakline%Inspirer en descendant%breakline%Expirer en montant",,message_index,31,,exercise_category,7,,exercise_name,32,,exercise_weight,4.0,,weight_display_unit,1,,duration_type,29,,target_type,2,,intensity,0,,,,</v>
      </c>
    </row>
    <row r="38" spans="1:56" x14ac:dyDescent="0.25">
      <c r="A38" s="27">
        <v>33</v>
      </c>
      <c r="B38" s="42" t="s">
        <v>65</v>
      </c>
      <c r="C38" s="35"/>
      <c r="D38" s="27" t="s">
        <v>61</v>
      </c>
      <c r="E38" s="27">
        <v>60</v>
      </c>
      <c r="H38" s="27" t="str">
        <f t="shared" si="0"/>
        <v>Data</v>
      </c>
      <c r="I38" s="27">
        <f>0</f>
        <v>0</v>
      </c>
      <c r="J38" s="27" t="str">
        <f t="shared" si="1"/>
        <v>workout_step</v>
      </c>
      <c r="N38" s="36" t="str">
        <f>IF(VLOOKUP(Data[[#This Row],[Duration Type]],Table_Duration_Type[],3,FALSE)="/","",VLOOKUP(Data[[#This Row],[Duration Type]],Table_Duration_Type[],3,FALSE))</f>
        <v>duration_time</v>
      </c>
      <c r="O38" s="36" t="str">
        <f>IF(N38&lt;&gt;"",IF(N38='Reference Lists'!$C$2,SUBSTITUTE(TEXT(Data[[#This Row],[Duration Value]],"0,0"),",","."),Data[[#This Row],[Duration Value]]),"")</f>
        <v>60.0</v>
      </c>
      <c r="P38" s="36" t="str">
        <f t="shared" si="34"/>
        <v>XXX</v>
      </c>
      <c r="Q38" s="36" t="s">
        <v>42</v>
      </c>
      <c r="R38" s="36">
        <f>0</f>
        <v>0</v>
      </c>
      <c r="S38" s="36" t="str">
        <f t="shared" si="35"/>
        <v>XXX</v>
      </c>
      <c r="Z38" s="36" t="str">
        <f t="shared" si="36"/>
        <v/>
      </c>
      <c r="AA38" s="36" t="str">
        <f>IF(Data[[#This Row],[Notes]]="","",_xlfn.CONCAT("""",SUBSTITUTE(Data[[#This Row],[Notes]],CHAR(10),"%breakline%"),""""))</f>
        <v/>
      </c>
      <c r="AB38" s="36" t="str">
        <f t="shared" si="37"/>
        <v/>
      </c>
      <c r="AC38" s="27" t="s">
        <v>37</v>
      </c>
      <c r="AD38" s="36">
        <f>Data[[#This Row],[Step n°]]-1</f>
        <v>32</v>
      </c>
      <c r="AE38" s="36" t="str">
        <f t="shared" si="38"/>
        <v>XXX</v>
      </c>
      <c r="AF38" s="36" t="str">
        <f t="shared" si="39"/>
        <v/>
      </c>
      <c r="AG38" s="36" t="str">
        <f>IF(_xlfn.IFNA(VLOOKUP(Data[[#This Row],[Exercise]],Table_Exercises[],2,FALSE),"")="","",_xlfn.IFNA(VLOOKUP(Data[[#This Row],[Exercise]],Table_Exercises[],2,FALSE),""))</f>
        <v/>
      </c>
      <c r="AH38" s="36" t="str">
        <f t="shared" si="40"/>
        <v/>
      </c>
      <c r="AI38" s="37" t="str">
        <f t="shared" si="41"/>
        <v/>
      </c>
      <c r="AJ38" s="36" t="str">
        <f>_xlfn.IFNA(IF(VLOOKUP(Data[[#This Row],[Exercise]],Table_Exercises[],3,FALSE)="/","",VLOOKUP(Data[[#This Row],[Exercise]],Table_Exercises[],3,FALSE)),"")</f>
        <v/>
      </c>
      <c r="AK38" s="36" t="str">
        <f t="shared" si="42"/>
        <v/>
      </c>
      <c r="AL38" s="27" t="str">
        <f>IF(OR(Data[[#This Row],[Weight]]="",Data[[#This Row],[Weight]]=0),"","exercise_weight")</f>
        <v/>
      </c>
      <c r="AM38" s="38" t="str">
        <f>IF(OR(Data[[#This Row],[Weight]]="",Data[[#This Row],[Weight]]=0),"",SUBSTITUTE(TEXT(Data[[#This Row],[Weight]],"0,0"),",","."))</f>
        <v/>
      </c>
      <c r="AN38" s="36" t="str">
        <f t="shared" si="43"/>
        <v/>
      </c>
      <c r="AO38" s="27" t="str">
        <f t="shared" si="44"/>
        <v/>
      </c>
      <c r="AP38" s="38" t="str">
        <f t="shared" si="45"/>
        <v/>
      </c>
      <c r="AQ38" s="36" t="str">
        <f t="shared" si="46"/>
        <v/>
      </c>
      <c r="AR38" s="27" t="s">
        <v>39</v>
      </c>
      <c r="AS38" s="36">
        <f>VLOOKUP(Data[[#This Row],[Duration Type]],Table_Duration_Type[],2,FALSE)</f>
        <v>0</v>
      </c>
      <c r="AT38" s="36" t="str">
        <f t="shared" si="47"/>
        <v>XXX</v>
      </c>
      <c r="AU38" s="27" t="s">
        <v>41</v>
      </c>
      <c r="AV38" s="36">
        <f>2</f>
        <v>2</v>
      </c>
      <c r="AW38" s="36" t="str">
        <f t="shared" si="48"/>
        <v>XXX</v>
      </c>
      <c r="AX38" s="27" t="s">
        <v>43</v>
      </c>
      <c r="AY38" s="36">
        <f>VLOOKUP(Data[[#This Row],[Set Type]],Table_Intensity[],2,FALSE)</f>
        <v>1</v>
      </c>
      <c r="AZ38" s="36" t="str">
        <f t="shared" si="49"/>
        <v>XXX</v>
      </c>
      <c r="BA38" s="27" t="s">
        <v>152</v>
      </c>
      <c r="BB38" s="27" t="s">
        <v>152</v>
      </c>
      <c r="BC38" s="27" t="s">
        <v>152</v>
      </c>
      <c r="BD38" s="28" t="str">
        <f>IF(Data[[#This Row],[DataCol1]]&lt;&gt;"",SUBSTITUTE(_xlfn.TEXTJOIN(",",TRUE,Data[[#This Row],[DataCol1]:[DataCol48]]),"XXX",""),"")</f>
        <v>Data,0,workout_step,duration_time,60.0,,target_value,0,,message_index,32,,duration_type,0,,target_type,2,,intensity,1,,,,</v>
      </c>
    </row>
    <row r="39" spans="1:56" ht="60" x14ac:dyDescent="0.25">
      <c r="A39" s="27">
        <v>34</v>
      </c>
      <c r="B39" s="42" t="s">
        <v>64</v>
      </c>
      <c r="C39" s="35" t="s">
        <v>247</v>
      </c>
      <c r="D39" s="27" t="s">
        <v>62</v>
      </c>
      <c r="E39" s="27">
        <v>17</v>
      </c>
      <c r="F39" s="27">
        <v>4</v>
      </c>
      <c r="G39" s="39" t="s">
        <v>253</v>
      </c>
      <c r="H39" s="27" t="str">
        <f t="shared" si="0"/>
        <v>Data</v>
      </c>
      <c r="I39" s="27">
        <f>0</f>
        <v>0</v>
      </c>
      <c r="J39" s="27" t="str">
        <f t="shared" si="1"/>
        <v>workout_step</v>
      </c>
      <c r="N39" s="36" t="str">
        <f>IF(VLOOKUP(Data[[#This Row],[Duration Type]],Table_Duration_Type[],3,FALSE)="/","",VLOOKUP(Data[[#This Row],[Duration Type]],Table_Duration_Type[],3,FALSE))</f>
        <v>duration_reps</v>
      </c>
      <c r="O39" s="36">
        <f>IF(N39&lt;&gt;"",IF(N39='Reference Lists'!$C$2,SUBSTITUTE(TEXT(Data[[#This Row],[Duration Value]],"0,0"),",","."),Data[[#This Row],[Duration Value]]),"")</f>
        <v>17</v>
      </c>
      <c r="P39" s="36" t="str">
        <f t="shared" si="34"/>
        <v>XXX</v>
      </c>
      <c r="Q39" s="36" t="s">
        <v>42</v>
      </c>
      <c r="R39" s="36">
        <f>0</f>
        <v>0</v>
      </c>
      <c r="S39" s="36" t="str">
        <f t="shared" si="35"/>
        <v>XXX</v>
      </c>
      <c r="Z39" s="36" t="str">
        <f t="shared" si="36"/>
        <v>notes</v>
      </c>
      <c r="AA39" s="36" t="str">
        <f>IF(Data[[#This Row],[Notes]]="","",_xlfn.CONCAT("""",SUBSTITUTE(Data[[#This Row],[Notes]],CHAR(10),"%breakline%"),""""))</f>
        <v>"Rotation poignet%breakline%Pas tendre le bras en bas%breakline%Inspirer en descendant%breakline%Expirer en montant"</v>
      </c>
      <c r="AB39" s="36" t="str">
        <f t="shared" si="37"/>
        <v>XXX</v>
      </c>
      <c r="AC39" s="27" t="s">
        <v>37</v>
      </c>
      <c r="AD39" s="36">
        <f>Data[[#This Row],[Step n°]]-1</f>
        <v>33</v>
      </c>
      <c r="AE39" s="36" t="str">
        <f t="shared" si="38"/>
        <v>XXX</v>
      </c>
      <c r="AF39" s="36" t="str">
        <f t="shared" si="39"/>
        <v>exercise_category</v>
      </c>
      <c r="AG39" s="36">
        <f>IF(_xlfn.IFNA(VLOOKUP(Data[[#This Row],[Exercise]],Table_Exercises[],2,FALSE),"")="","",_xlfn.IFNA(VLOOKUP(Data[[#This Row],[Exercise]],Table_Exercises[],2,FALSE),""))</f>
        <v>7</v>
      </c>
      <c r="AH39" s="36" t="str">
        <f t="shared" si="40"/>
        <v>XXX</v>
      </c>
      <c r="AI39" s="37" t="str">
        <f t="shared" si="41"/>
        <v>exercise_name</v>
      </c>
      <c r="AJ39" s="36">
        <f>_xlfn.IFNA(IF(VLOOKUP(Data[[#This Row],[Exercise]],Table_Exercises[],3,FALSE)="/","",VLOOKUP(Data[[#This Row],[Exercise]],Table_Exercises[],3,FALSE)),"")</f>
        <v>32</v>
      </c>
      <c r="AK39" s="36" t="str">
        <f t="shared" si="42"/>
        <v>XXX</v>
      </c>
      <c r="AL39" s="27" t="str">
        <f>IF(OR(Data[[#This Row],[Weight]]="",Data[[#This Row],[Weight]]=0),"","exercise_weight")</f>
        <v>exercise_weight</v>
      </c>
      <c r="AM39" s="38" t="str">
        <f>IF(OR(Data[[#This Row],[Weight]]="",Data[[#This Row],[Weight]]=0),"",SUBSTITUTE(TEXT(Data[[#This Row],[Weight]],"0,0"),",","."))</f>
        <v>4.0</v>
      </c>
      <c r="AN39" s="36" t="str">
        <f t="shared" si="43"/>
        <v>XXX</v>
      </c>
      <c r="AO39" s="27" t="str">
        <f t="shared" si="44"/>
        <v>weight_display_unit</v>
      </c>
      <c r="AP39" s="38">
        <f t="shared" si="45"/>
        <v>1</v>
      </c>
      <c r="AQ39" s="36" t="str">
        <f t="shared" si="46"/>
        <v>XXX</v>
      </c>
      <c r="AR39" s="27" t="s">
        <v>39</v>
      </c>
      <c r="AS39" s="36">
        <f>VLOOKUP(Data[[#This Row],[Duration Type]],Table_Duration_Type[],2,FALSE)</f>
        <v>29</v>
      </c>
      <c r="AT39" s="36" t="str">
        <f t="shared" si="47"/>
        <v>XXX</v>
      </c>
      <c r="AU39" s="27" t="s">
        <v>41</v>
      </c>
      <c r="AV39" s="36">
        <f>2</f>
        <v>2</v>
      </c>
      <c r="AW39" s="36" t="str">
        <f t="shared" si="48"/>
        <v>XXX</v>
      </c>
      <c r="AX39" s="27" t="s">
        <v>43</v>
      </c>
      <c r="AY39" s="36">
        <f>VLOOKUP(Data[[#This Row],[Set Type]],Table_Intensity[],2,FALSE)</f>
        <v>0</v>
      </c>
      <c r="AZ39" s="36" t="str">
        <f t="shared" si="49"/>
        <v>XXX</v>
      </c>
      <c r="BA39" s="27" t="s">
        <v>152</v>
      </c>
      <c r="BB39" s="27" t="s">
        <v>152</v>
      </c>
      <c r="BC39" s="27" t="s">
        <v>152</v>
      </c>
      <c r="BD39" s="28" t="str">
        <f>IF(Data[[#This Row],[DataCol1]]&lt;&gt;"",SUBSTITUTE(_xlfn.TEXTJOIN(",",TRUE,Data[[#This Row],[DataCol1]:[DataCol48]]),"XXX",""),"")</f>
        <v>Data,0,workout_step,duration_reps,17,,target_value,0,,notes,"Rotation poignet%breakline%Pas tendre le bras en bas%breakline%Inspirer en descendant%breakline%Expirer en montant",,message_index,33,,exercise_category,7,,exercise_name,32,,exercise_weight,4.0,,weight_display_unit,1,,duration_type,29,,target_type,2,,intensity,0,,,,</v>
      </c>
    </row>
    <row r="40" spans="1:56" x14ac:dyDescent="0.25">
      <c r="A40" s="27">
        <v>35</v>
      </c>
      <c r="B40" s="42" t="s">
        <v>65</v>
      </c>
      <c r="C40" s="35"/>
      <c r="D40" s="27" t="s">
        <v>61</v>
      </c>
      <c r="E40" s="27">
        <v>60</v>
      </c>
      <c r="H40" s="27" t="str">
        <f t="shared" si="0"/>
        <v>Data</v>
      </c>
      <c r="I40" s="27">
        <f>0</f>
        <v>0</v>
      </c>
      <c r="J40" s="27" t="str">
        <f t="shared" si="1"/>
        <v>workout_step</v>
      </c>
      <c r="N40" s="36" t="str">
        <f>IF(VLOOKUP(Data[[#This Row],[Duration Type]],Table_Duration_Type[],3,FALSE)="/","",VLOOKUP(Data[[#This Row],[Duration Type]],Table_Duration_Type[],3,FALSE))</f>
        <v>duration_time</v>
      </c>
      <c r="O40" s="36" t="str">
        <f>IF(N40&lt;&gt;"",IF(N40='Reference Lists'!$C$2,SUBSTITUTE(TEXT(Data[[#This Row],[Duration Value]],"0,0"),",","."),Data[[#This Row],[Duration Value]]),"")</f>
        <v>60.0</v>
      </c>
      <c r="P40" s="36" t="str">
        <f t="shared" si="34"/>
        <v>XXX</v>
      </c>
      <c r="Q40" s="36" t="s">
        <v>42</v>
      </c>
      <c r="R40" s="36">
        <f>0</f>
        <v>0</v>
      </c>
      <c r="S40" s="36" t="str">
        <f t="shared" si="35"/>
        <v>XXX</v>
      </c>
      <c r="Z40" s="36" t="str">
        <f t="shared" si="36"/>
        <v/>
      </c>
      <c r="AA40" s="36" t="str">
        <f>IF(Data[[#This Row],[Notes]]="","",_xlfn.CONCAT("""",SUBSTITUTE(Data[[#This Row],[Notes]],CHAR(10),"%breakline%"),""""))</f>
        <v/>
      </c>
      <c r="AB40" s="36" t="str">
        <f t="shared" si="37"/>
        <v/>
      </c>
      <c r="AC40" s="27" t="s">
        <v>37</v>
      </c>
      <c r="AD40" s="36">
        <f>Data[[#This Row],[Step n°]]-1</f>
        <v>34</v>
      </c>
      <c r="AE40" s="36" t="str">
        <f t="shared" si="38"/>
        <v>XXX</v>
      </c>
      <c r="AF40" s="36" t="str">
        <f t="shared" si="39"/>
        <v/>
      </c>
      <c r="AG40" s="36" t="str">
        <f>IF(_xlfn.IFNA(VLOOKUP(Data[[#This Row],[Exercise]],Table_Exercises[],2,FALSE),"")="","",_xlfn.IFNA(VLOOKUP(Data[[#This Row],[Exercise]],Table_Exercises[],2,FALSE),""))</f>
        <v/>
      </c>
      <c r="AH40" s="36" t="str">
        <f t="shared" si="40"/>
        <v/>
      </c>
      <c r="AI40" s="37" t="str">
        <f t="shared" si="41"/>
        <v/>
      </c>
      <c r="AJ40" s="36" t="str">
        <f>_xlfn.IFNA(IF(VLOOKUP(Data[[#This Row],[Exercise]],Table_Exercises[],3,FALSE)="/","",VLOOKUP(Data[[#This Row],[Exercise]],Table_Exercises[],3,FALSE)),"")</f>
        <v/>
      </c>
      <c r="AK40" s="36" t="str">
        <f t="shared" si="42"/>
        <v/>
      </c>
      <c r="AL40" s="27" t="str">
        <f>IF(OR(Data[[#This Row],[Weight]]="",Data[[#This Row],[Weight]]=0),"","exercise_weight")</f>
        <v/>
      </c>
      <c r="AM40" s="38" t="str">
        <f>IF(OR(Data[[#This Row],[Weight]]="",Data[[#This Row],[Weight]]=0),"",SUBSTITUTE(TEXT(Data[[#This Row],[Weight]],"0,0"),",","."))</f>
        <v/>
      </c>
      <c r="AN40" s="36" t="str">
        <f t="shared" si="43"/>
        <v/>
      </c>
      <c r="AO40" s="27" t="str">
        <f t="shared" si="44"/>
        <v/>
      </c>
      <c r="AP40" s="38" t="str">
        <f t="shared" si="45"/>
        <v/>
      </c>
      <c r="AQ40" s="36" t="str">
        <f t="shared" si="46"/>
        <v/>
      </c>
      <c r="AR40" s="27" t="s">
        <v>39</v>
      </c>
      <c r="AS40" s="36">
        <f>VLOOKUP(Data[[#This Row],[Duration Type]],Table_Duration_Type[],2,FALSE)</f>
        <v>0</v>
      </c>
      <c r="AT40" s="36" t="str">
        <f t="shared" si="47"/>
        <v>XXX</v>
      </c>
      <c r="AU40" s="27" t="s">
        <v>41</v>
      </c>
      <c r="AV40" s="36">
        <f>2</f>
        <v>2</v>
      </c>
      <c r="AW40" s="36" t="str">
        <f t="shared" si="48"/>
        <v>XXX</v>
      </c>
      <c r="AX40" s="27" t="s">
        <v>43</v>
      </c>
      <c r="AY40" s="36">
        <f>VLOOKUP(Data[[#This Row],[Set Type]],Table_Intensity[],2,FALSE)</f>
        <v>1</v>
      </c>
      <c r="AZ40" s="36" t="str">
        <f t="shared" si="49"/>
        <v>XXX</v>
      </c>
      <c r="BA40" s="27" t="s">
        <v>152</v>
      </c>
      <c r="BB40" s="27" t="s">
        <v>152</v>
      </c>
      <c r="BC40" s="27" t="s">
        <v>152</v>
      </c>
      <c r="BD40" s="28" t="str">
        <f>IF(Data[[#This Row],[DataCol1]]&lt;&gt;"",SUBSTITUTE(_xlfn.TEXTJOIN(",",TRUE,Data[[#This Row],[DataCol1]:[DataCol48]]),"XXX",""),"")</f>
        <v>Data,0,workout_step,duration_time,60.0,,target_value,0,,message_index,34,,duration_type,0,,target_type,2,,intensity,1,,,,</v>
      </c>
    </row>
    <row r="41" spans="1:56" ht="90" x14ac:dyDescent="0.25">
      <c r="A41" s="27">
        <v>36</v>
      </c>
      <c r="B41" s="42" t="s">
        <v>105</v>
      </c>
      <c r="C41" s="35" t="s">
        <v>246</v>
      </c>
      <c r="D41" s="27" t="s">
        <v>62</v>
      </c>
      <c r="E41" s="27">
        <v>8</v>
      </c>
      <c r="F41" s="27">
        <v>2</v>
      </c>
      <c r="G41" s="39" t="s">
        <v>254</v>
      </c>
      <c r="H41" s="27" t="str">
        <f t="shared" si="0"/>
        <v>Data</v>
      </c>
      <c r="I41" s="27">
        <f>0</f>
        <v>0</v>
      </c>
      <c r="J41" s="27" t="str">
        <f t="shared" si="1"/>
        <v>workout_step</v>
      </c>
      <c r="N41" s="36" t="str">
        <f>IF(VLOOKUP(Data[[#This Row],[Duration Type]],Table_Duration_Type[],3,FALSE)="/","",VLOOKUP(Data[[#This Row],[Duration Type]],Table_Duration_Type[],3,FALSE))</f>
        <v>duration_reps</v>
      </c>
      <c r="O41" s="36">
        <f>IF(N41&lt;&gt;"",IF(N41='Reference Lists'!$C$2,SUBSTITUTE(TEXT(Data[[#This Row],[Duration Value]],"0,0"),",","."),Data[[#This Row],[Duration Value]]),"")</f>
        <v>8</v>
      </c>
      <c r="P41" s="36" t="str">
        <f t="shared" si="34"/>
        <v>XXX</v>
      </c>
      <c r="Q41" s="36" t="s">
        <v>42</v>
      </c>
      <c r="R41" s="36">
        <f>0</f>
        <v>0</v>
      </c>
      <c r="S41" s="36" t="str">
        <f t="shared" si="35"/>
        <v>XXX</v>
      </c>
      <c r="Z41" s="36" t="str">
        <f t="shared" si="36"/>
        <v>notes</v>
      </c>
      <c r="AA41" s="36" t="str">
        <f>IF(Data[[#This Row],[Notes]]="","",_xlfn.CONCAT("""",SUBSTITUTE(Data[[#This Row],[Notes]],CHAR(10),"%breakline%"),""""))</f>
        <v>"Bras droit%breakline%%breakline%Bras de soutien pas tendu%breakline%Pas verrouiller en haut%breakline%Inspirer en descendant%breakline%Expirer en montant"</v>
      </c>
      <c r="AB41" s="36" t="str">
        <f t="shared" si="37"/>
        <v>XXX</v>
      </c>
      <c r="AC41" s="27" t="s">
        <v>37</v>
      </c>
      <c r="AD41" s="36">
        <f>Data[[#This Row],[Step n°]]-1</f>
        <v>35</v>
      </c>
      <c r="AE41" s="36" t="str">
        <f t="shared" si="38"/>
        <v>XXX</v>
      </c>
      <c r="AF41" s="36" t="str">
        <f t="shared" si="39"/>
        <v>exercise_category</v>
      </c>
      <c r="AG41" s="36">
        <f>IF(_xlfn.IFNA(VLOOKUP(Data[[#This Row],[Exercise]],Table_Exercises[],2,FALSE),"")="","",_xlfn.IFNA(VLOOKUP(Data[[#This Row],[Exercise]],Table_Exercises[],2,FALSE),""))</f>
        <v>30</v>
      </c>
      <c r="AH41" s="36" t="str">
        <f t="shared" si="40"/>
        <v>XXX</v>
      </c>
      <c r="AI41" s="37" t="str">
        <f t="shared" si="41"/>
        <v>exercise_name</v>
      </c>
      <c r="AJ41" s="36">
        <f>_xlfn.IFNA(IF(VLOOKUP(Data[[#This Row],[Exercise]],Table_Exercises[],3,FALSE)="/","",VLOOKUP(Data[[#This Row],[Exercise]],Table_Exercises[],3,FALSE)),"")</f>
        <v>6</v>
      </c>
      <c r="AK41" s="36" t="str">
        <f t="shared" si="42"/>
        <v>XXX</v>
      </c>
      <c r="AL41" s="27" t="str">
        <f>IF(OR(Data[[#This Row],[Weight]]="",Data[[#This Row],[Weight]]=0),"","exercise_weight")</f>
        <v>exercise_weight</v>
      </c>
      <c r="AM41" s="38" t="str">
        <f>IF(OR(Data[[#This Row],[Weight]]="",Data[[#This Row],[Weight]]=0),"",SUBSTITUTE(TEXT(Data[[#This Row],[Weight]],"0,0"),",","."))</f>
        <v>2.0</v>
      </c>
      <c r="AN41" s="36" t="str">
        <f t="shared" si="43"/>
        <v>XXX</v>
      </c>
      <c r="AO41" s="27" t="str">
        <f t="shared" si="44"/>
        <v>weight_display_unit</v>
      </c>
      <c r="AP41" s="38">
        <f t="shared" si="45"/>
        <v>1</v>
      </c>
      <c r="AQ41" s="36" t="str">
        <f t="shared" si="46"/>
        <v>XXX</v>
      </c>
      <c r="AR41" s="27" t="s">
        <v>39</v>
      </c>
      <c r="AS41" s="36">
        <f>VLOOKUP(Data[[#This Row],[Duration Type]],Table_Duration_Type[],2,FALSE)</f>
        <v>29</v>
      </c>
      <c r="AT41" s="36" t="str">
        <f t="shared" si="47"/>
        <v>XXX</v>
      </c>
      <c r="AU41" s="27" t="s">
        <v>41</v>
      </c>
      <c r="AV41" s="36">
        <f>2</f>
        <v>2</v>
      </c>
      <c r="AW41" s="36" t="str">
        <f t="shared" si="48"/>
        <v>XXX</v>
      </c>
      <c r="AX41" s="27" t="s">
        <v>43</v>
      </c>
      <c r="AY41" s="36">
        <f>VLOOKUP(Data[[#This Row],[Set Type]],Table_Intensity[],2,FALSE)</f>
        <v>2</v>
      </c>
      <c r="AZ41" s="36" t="str">
        <f t="shared" si="49"/>
        <v>XXX</v>
      </c>
      <c r="BA41" s="27" t="s">
        <v>152</v>
      </c>
      <c r="BB41" s="27" t="s">
        <v>152</v>
      </c>
      <c r="BC41" s="27" t="s">
        <v>152</v>
      </c>
      <c r="BD41" s="28" t="str">
        <f>IF(Data[[#This Row],[DataCol1]]&lt;&gt;"",SUBSTITUTE(_xlfn.TEXTJOIN(",",TRUE,Data[[#This Row],[DataCol1]:[DataCol48]]),"XXX",""),"")</f>
        <v>Data,0,workout_step,duration_reps,8,,target_value,0,,notes,"Bras droit%breakline%%breakline%Bras de soutien pas tendu%breakline%Pas verrouiller en haut%breakline%Inspirer en descendant%breakline%Expirer en montant",,message_index,35,,exercise_category,30,,exercise_name,6,,exercise_weight,2.0,,weight_display_unit,1,,duration_type,29,,target_type,2,,intensity,2,,,,</v>
      </c>
    </row>
    <row r="42" spans="1:56" x14ac:dyDescent="0.25">
      <c r="A42" s="27">
        <v>37</v>
      </c>
      <c r="B42" s="42" t="s">
        <v>65</v>
      </c>
      <c r="C42" s="35"/>
      <c r="D42" s="27" t="s">
        <v>79</v>
      </c>
      <c r="H42" s="27" t="str">
        <f t="shared" si="0"/>
        <v>Data</v>
      </c>
      <c r="I42" s="27">
        <f>0</f>
        <v>0</v>
      </c>
      <c r="J42" s="27" t="str">
        <f t="shared" si="1"/>
        <v>workout_step</v>
      </c>
      <c r="N42" s="36" t="str">
        <f>IF(VLOOKUP(Data[[#This Row],[Duration Type]],Table_Duration_Type[],3,FALSE)="/","",VLOOKUP(Data[[#This Row],[Duration Type]],Table_Duration_Type[],3,FALSE))</f>
        <v/>
      </c>
      <c r="O42" s="36" t="str">
        <f>IF(N42&lt;&gt;"",IF(N42='Reference Lists'!$C$2,SUBSTITUTE(TEXT(Data[[#This Row],[Duration Value]],"0,0"),",","."),Data[[#This Row],[Duration Value]]),"")</f>
        <v/>
      </c>
      <c r="P42" s="36" t="str">
        <f t="shared" si="34"/>
        <v/>
      </c>
      <c r="Q42" s="36" t="s">
        <v>42</v>
      </c>
      <c r="R42" s="36">
        <f>0</f>
        <v>0</v>
      </c>
      <c r="S42" s="36" t="str">
        <f t="shared" si="35"/>
        <v>XXX</v>
      </c>
      <c r="Z42" s="36" t="str">
        <f t="shared" si="36"/>
        <v/>
      </c>
      <c r="AA42" s="36" t="str">
        <f>IF(Data[[#This Row],[Notes]]="","",_xlfn.CONCAT("""",SUBSTITUTE(Data[[#This Row],[Notes]],CHAR(10),"%breakline%"),""""))</f>
        <v/>
      </c>
      <c r="AB42" s="36" t="str">
        <f t="shared" si="37"/>
        <v/>
      </c>
      <c r="AC42" s="27" t="s">
        <v>37</v>
      </c>
      <c r="AD42" s="36">
        <f>Data[[#This Row],[Step n°]]-1</f>
        <v>36</v>
      </c>
      <c r="AE42" s="36" t="str">
        <f t="shared" si="38"/>
        <v>XXX</v>
      </c>
      <c r="AF42" s="36" t="str">
        <f t="shared" si="39"/>
        <v/>
      </c>
      <c r="AG42" s="36" t="str">
        <f>IF(_xlfn.IFNA(VLOOKUP(Data[[#This Row],[Exercise]],Table_Exercises[],2,FALSE),"")="","",_xlfn.IFNA(VLOOKUP(Data[[#This Row],[Exercise]],Table_Exercises[],2,FALSE),""))</f>
        <v/>
      </c>
      <c r="AH42" s="36" t="str">
        <f t="shared" si="40"/>
        <v/>
      </c>
      <c r="AI42" s="37" t="str">
        <f t="shared" si="41"/>
        <v/>
      </c>
      <c r="AJ42" s="36" t="str">
        <f>_xlfn.IFNA(IF(VLOOKUP(Data[[#This Row],[Exercise]],Table_Exercises[],3,FALSE)="/","",VLOOKUP(Data[[#This Row],[Exercise]],Table_Exercises[],3,FALSE)),"")</f>
        <v/>
      </c>
      <c r="AK42" s="36" t="str">
        <f t="shared" si="42"/>
        <v/>
      </c>
      <c r="AL42" s="27" t="str">
        <f>IF(OR(Data[[#This Row],[Weight]]="",Data[[#This Row],[Weight]]=0),"","exercise_weight")</f>
        <v/>
      </c>
      <c r="AM42" s="38" t="str">
        <f>IF(OR(Data[[#This Row],[Weight]]="",Data[[#This Row],[Weight]]=0),"",SUBSTITUTE(TEXT(Data[[#This Row],[Weight]],"0,0"),",","."))</f>
        <v/>
      </c>
      <c r="AN42" s="36" t="str">
        <f t="shared" si="43"/>
        <v/>
      </c>
      <c r="AO42" s="27" t="str">
        <f t="shared" si="44"/>
        <v/>
      </c>
      <c r="AP42" s="38" t="str">
        <f t="shared" si="45"/>
        <v/>
      </c>
      <c r="AQ42" s="36" t="str">
        <f t="shared" si="46"/>
        <v/>
      </c>
      <c r="AR42" s="27" t="s">
        <v>39</v>
      </c>
      <c r="AS42" s="36">
        <f>VLOOKUP(Data[[#This Row],[Duration Type]],Table_Duration_Type[],2,FALSE)</f>
        <v>5</v>
      </c>
      <c r="AT42" s="36" t="str">
        <f t="shared" si="47"/>
        <v>XXX</v>
      </c>
      <c r="AU42" s="27" t="s">
        <v>41</v>
      </c>
      <c r="AV42" s="36">
        <f>2</f>
        <v>2</v>
      </c>
      <c r="AW42" s="36" t="str">
        <f t="shared" si="48"/>
        <v>XXX</v>
      </c>
      <c r="AX42" s="27" t="s">
        <v>43</v>
      </c>
      <c r="AY42" s="36">
        <f>VLOOKUP(Data[[#This Row],[Set Type]],Table_Intensity[],2,FALSE)</f>
        <v>1</v>
      </c>
      <c r="AZ42" s="36" t="str">
        <f t="shared" si="49"/>
        <v>XXX</v>
      </c>
      <c r="BA42" s="27" t="s">
        <v>152</v>
      </c>
      <c r="BB42" s="27" t="s">
        <v>152</v>
      </c>
      <c r="BC42" s="27" t="s">
        <v>152</v>
      </c>
      <c r="BD42" s="28" t="str">
        <f>IF(Data[[#This Row],[DataCol1]]&lt;&gt;"",SUBSTITUTE(_xlfn.TEXTJOIN(",",TRUE,Data[[#This Row],[DataCol1]:[DataCol48]]),"XXX",""),"")</f>
        <v>Data,0,workout_step,target_value,0,,message_index,36,,duration_type,5,,target_type,2,,intensity,1,,,,</v>
      </c>
    </row>
    <row r="43" spans="1:56" ht="90" x14ac:dyDescent="0.25">
      <c r="A43" s="27">
        <v>38</v>
      </c>
      <c r="B43" s="42" t="s">
        <v>64</v>
      </c>
      <c r="C43" s="35" t="s">
        <v>246</v>
      </c>
      <c r="D43" s="27" t="s">
        <v>62</v>
      </c>
      <c r="E43" s="27">
        <v>17</v>
      </c>
      <c r="F43" s="27">
        <v>4</v>
      </c>
      <c r="G43" s="39" t="s">
        <v>254</v>
      </c>
      <c r="H43" s="27" t="str">
        <f t="shared" si="0"/>
        <v>Data</v>
      </c>
      <c r="I43" s="27">
        <f>0</f>
        <v>0</v>
      </c>
      <c r="J43" s="27" t="str">
        <f t="shared" si="1"/>
        <v>workout_step</v>
      </c>
      <c r="N43" s="36" t="str">
        <f>IF(VLOOKUP(Data[[#This Row],[Duration Type]],Table_Duration_Type[],3,FALSE)="/","",VLOOKUP(Data[[#This Row],[Duration Type]],Table_Duration_Type[],3,FALSE))</f>
        <v>duration_reps</v>
      </c>
      <c r="O43" s="36">
        <f>IF(N43&lt;&gt;"",IF(N43='Reference Lists'!$C$2,SUBSTITUTE(TEXT(Data[[#This Row],[Duration Value]],"0,0"),",","."),Data[[#This Row],[Duration Value]]),"")</f>
        <v>17</v>
      </c>
      <c r="P43" s="36" t="str">
        <f t="shared" si="34"/>
        <v>XXX</v>
      </c>
      <c r="Q43" s="36" t="s">
        <v>42</v>
      </c>
      <c r="R43" s="36">
        <f>0</f>
        <v>0</v>
      </c>
      <c r="S43" s="36" t="str">
        <f t="shared" si="35"/>
        <v>XXX</v>
      </c>
      <c r="Z43" s="36" t="str">
        <f t="shared" si="36"/>
        <v>notes</v>
      </c>
      <c r="AA43" s="36" t="str">
        <f>IF(Data[[#This Row],[Notes]]="","",_xlfn.CONCAT("""",SUBSTITUTE(Data[[#This Row],[Notes]],CHAR(10),"%breakline%"),""""))</f>
        <v>"Bras droit%breakline%%breakline%Bras de soutien pas tendu%breakline%Pas verrouiller en haut%breakline%Inspirer en descendant%breakline%Expirer en montant"</v>
      </c>
      <c r="AB43" s="36" t="str">
        <f t="shared" si="37"/>
        <v>XXX</v>
      </c>
      <c r="AC43" s="27" t="s">
        <v>37</v>
      </c>
      <c r="AD43" s="36">
        <f>Data[[#This Row],[Step n°]]-1</f>
        <v>37</v>
      </c>
      <c r="AE43" s="36" t="str">
        <f t="shared" si="38"/>
        <v>XXX</v>
      </c>
      <c r="AF43" s="36" t="str">
        <f t="shared" si="39"/>
        <v>exercise_category</v>
      </c>
      <c r="AG43" s="36">
        <f>IF(_xlfn.IFNA(VLOOKUP(Data[[#This Row],[Exercise]],Table_Exercises[],2,FALSE),"")="","",_xlfn.IFNA(VLOOKUP(Data[[#This Row],[Exercise]],Table_Exercises[],2,FALSE),""))</f>
        <v>30</v>
      </c>
      <c r="AH43" s="36" t="str">
        <f t="shared" si="40"/>
        <v>XXX</v>
      </c>
      <c r="AI43" s="37" t="str">
        <f t="shared" si="41"/>
        <v>exercise_name</v>
      </c>
      <c r="AJ43" s="36">
        <f>_xlfn.IFNA(IF(VLOOKUP(Data[[#This Row],[Exercise]],Table_Exercises[],3,FALSE)="/","",VLOOKUP(Data[[#This Row],[Exercise]],Table_Exercises[],3,FALSE)),"")</f>
        <v>6</v>
      </c>
      <c r="AK43" s="36" t="str">
        <f t="shared" si="42"/>
        <v>XXX</v>
      </c>
      <c r="AL43" s="27" t="str">
        <f>IF(OR(Data[[#This Row],[Weight]]="",Data[[#This Row],[Weight]]=0),"","exercise_weight")</f>
        <v>exercise_weight</v>
      </c>
      <c r="AM43" s="38" t="str">
        <f>IF(OR(Data[[#This Row],[Weight]]="",Data[[#This Row],[Weight]]=0),"",SUBSTITUTE(TEXT(Data[[#This Row],[Weight]],"0,0"),",","."))</f>
        <v>4.0</v>
      </c>
      <c r="AN43" s="36" t="str">
        <f t="shared" si="43"/>
        <v>XXX</v>
      </c>
      <c r="AO43" s="27" t="str">
        <f t="shared" si="44"/>
        <v>weight_display_unit</v>
      </c>
      <c r="AP43" s="38">
        <f t="shared" si="45"/>
        <v>1</v>
      </c>
      <c r="AQ43" s="36" t="str">
        <f t="shared" si="46"/>
        <v>XXX</v>
      </c>
      <c r="AR43" s="27" t="s">
        <v>39</v>
      </c>
      <c r="AS43" s="36">
        <f>VLOOKUP(Data[[#This Row],[Duration Type]],Table_Duration_Type[],2,FALSE)</f>
        <v>29</v>
      </c>
      <c r="AT43" s="36" t="str">
        <f t="shared" si="47"/>
        <v>XXX</v>
      </c>
      <c r="AU43" s="27" t="s">
        <v>41</v>
      </c>
      <c r="AV43" s="36">
        <f>2</f>
        <v>2</v>
      </c>
      <c r="AW43" s="36" t="str">
        <f t="shared" si="48"/>
        <v>XXX</v>
      </c>
      <c r="AX43" s="27" t="s">
        <v>43</v>
      </c>
      <c r="AY43" s="36">
        <f>VLOOKUP(Data[[#This Row],[Set Type]],Table_Intensity[],2,FALSE)</f>
        <v>0</v>
      </c>
      <c r="AZ43" s="36" t="str">
        <f t="shared" si="49"/>
        <v>XXX</v>
      </c>
      <c r="BA43" s="27" t="s">
        <v>152</v>
      </c>
      <c r="BB43" s="27" t="s">
        <v>152</v>
      </c>
      <c r="BC43" s="27" t="s">
        <v>152</v>
      </c>
      <c r="BD43" s="28" t="str">
        <f>IF(Data[[#This Row],[DataCol1]]&lt;&gt;"",SUBSTITUTE(_xlfn.TEXTJOIN(",",TRUE,Data[[#This Row],[DataCol1]:[DataCol48]]),"XXX",""),"")</f>
        <v>Data,0,workout_step,duration_reps,17,,target_value,0,,notes,"Bras droit%breakline%%breakline%Bras de soutien pas tendu%breakline%Pas verrouiller en haut%breakline%Inspirer en descendant%breakline%Expirer en montant",,message_index,37,,exercise_category,30,,exercise_name,6,,exercise_weight,4.0,,weight_display_unit,1,,duration_type,29,,target_type,2,,intensity,0,,,,</v>
      </c>
    </row>
    <row r="44" spans="1:56" x14ac:dyDescent="0.25">
      <c r="A44" s="27">
        <v>39</v>
      </c>
      <c r="B44" s="42" t="s">
        <v>65</v>
      </c>
      <c r="C44" s="35"/>
      <c r="D44" s="27" t="s">
        <v>79</v>
      </c>
      <c r="H44" s="27" t="str">
        <f t="shared" si="0"/>
        <v>Data</v>
      </c>
      <c r="I44" s="27">
        <f>0</f>
        <v>0</v>
      </c>
      <c r="J44" s="27" t="str">
        <f t="shared" si="1"/>
        <v>workout_step</v>
      </c>
      <c r="N44" s="36" t="str">
        <f>IF(VLOOKUP(Data[[#This Row],[Duration Type]],Table_Duration_Type[],3,FALSE)="/","",VLOOKUP(Data[[#This Row],[Duration Type]],Table_Duration_Type[],3,FALSE))</f>
        <v/>
      </c>
      <c r="O44" s="36" t="str">
        <f>IF(N44&lt;&gt;"",IF(N44='Reference Lists'!$C$2,SUBSTITUTE(TEXT(Data[[#This Row],[Duration Value]],"0,0"),",","."),Data[[#This Row],[Duration Value]]),"")</f>
        <v/>
      </c>
      <c r="P44" s="36" t="str">
        <f t="shared" si="34"/>
        <v/>
      </c>
      <c r="Q44" s="36" t="s">
        <v>42</v>
      </c>
      <c r="R44" s="36">
        <f>0</f>
        <v>0</v>
      </c>
      <c r="S44" s="36" t="str">
        <f t="shared" si="35"/>
        <v>XXX</v>
      </c>
      <c r="Z44" s="36" t="str">
        <f t="shared" si="36"/>
        <v/>
      </c>
      <c r="AA44" s="36" t="str">
        <f>IF(Data[[#This Row],[Notes]]="","",_xlfn.CONCAT("""",SUBSTITUTE(Data[[#This Row],[Notes]],CHAR(10),"%breakline%"),""""))</f>
        <v/>
      </c>
      <c r="AB44" s="36" t="str">
        <f t="shared" si="37"/>
        <v/>
      </c>
      <c r="AC44" s="27" t="s">
        <v>37</v>
      </c>
      <c r="AD44" s="36">
        <f>Data[[#This Row],[Step n°]]-1</f>
        <v>38</v>
      </c>
      <c r="AE44" s="36" t="str">
        <f t="shared" si="38"/>
        <v>XXX</v>
      </c>
      <c r="AF44" s="36" t="str">
        <f t="shared" si="39"/>
        <v/>
      </c>
      <c r="AG44" s="36" t="str">
        <f>IF(_xlfn.IFNA(VLOOKUP(Data[[#This Row],[Exercise]],Table_Exercises[],2,FALSE),"")="","",_xlfn.IFNA(VLOOKUP(Data[[#This Row],[Exercise]],Table_Exercises[],2,FALSE),""))</f>
        <v/>
      </c>
      <c r="AH44" s="36" t="str">
        <f t="shared" si="40"/>
        <v/>
      </c>
      <c r="AI44" s="37" t="str">
        <f t="shared" si="41"/>
        <v/>
      </c>
      <c r="AJ44" s="36" t="str">
        <f>_xlfn.IFNA(IF(VLOOKUP(Data[[#This Row],[Exercise]],Table_Exercises[],3,FALSE)="/","",VLOOKUP(Data[[#This Row],[Exercise]],Table_Exercises[],3,FALSE)),"")</f>
        <v/>
      </c>
      <c r="AK44" s="36" t="str">
        <f t="shared" si="42"/>
        <v/>
      </c>
      <c r="AL44" s="27" t="str">
        <f>IF(OR(Data[[#This Row],[Weight]]="",Data[[#This Row],[Weight]]=0),"","exercise_weight")</f>
        <v/>
      </c>
      <c r="AM44" s="38" t="str">
        <f>IF(OR(Data[[#This Row],[Weight]]="",Data[[#This Row],[Weight]]=0),"",SUBSTITUTE(TEXT(Data[[#This Row],[Weight]],"0,0"),",","."))</f>
        <v/>
      </c>
      <c r="AN44" s="36" t="str">
        <f t="shared" si="43"/>
        <v/>
      </c>
      <c r="AO44" s="27" t="str">
        <f t="shared" si="44"/>
        <v/>
      </c>
      <c r="AP44" s="38" t="str">
        <f t="shared" si="45"/>
        <v/>
      </c>
      <c r="AQ44" s="36" t="str">
        <f t="shared" si="46"/>
        <v/>
      </c>
      <c r="AR44" s="27" t="s">
        <v>39</v>
      </c>
      <c r="AS44" s="36">
        <f>VLOOKUP(Data[[#This Row],[Duration Type]],Table_Duration_Type[],2,FALSE)</f>
        <v>5</v>
      </c>
      <c r="AT44" s="36" t="str">
        <f t="shared" si="47"/>
        <v>XXX</v>
      </c>
      <c r="AU44" s="27" t="s">
        <v>41</v>
      </c>
      <c r="AV44" s="36">
        <f>2</f>
        <v>2</v>
      </c>
      <c r="AW44" s="36" t="str">
        <f t="shared" si="48"/>
        <v>XXX</v>
      </c>
      <c r="AX44" s="27" t="s">
        <v>43</v>
      </c>
      <c r="AY44" s="36">
        <f>VLOOKUP(Data[[#This Row],[Set Type]],Table_Intensity[],2,FALSE)</f>
        <v>1</v>
      </c>
      <c r="AZ44" s="36" t="str">
        <f t="shared" si="49"/>
        <v>XXX</v>
      </c>
      <c r="BA44" s="27" t="s">
        <v>152</v>
      </c>
      <c r="BB44" s="27" t="s">
        <v>152</v>
      </c>
      <c r="BC44" s="27" t="s">
        <v>152</v>
      </c>
      <c r="BD44" s="28" t="str">
        <f>IF(Data[[#This Row],[DataCol1]]&lt;&gt;"",SUBSTITUTE(_xlfn.TEXTJOIN(",",TRUE,Data[[#This Row],[DataCol1]:[DataCol48]]),"XXX",""),"")</f>
        <v>Data,0,workout_step,target_value,0,,message_index,38,,duration_type,5,,target_type,2,,intensity,1,,,,</v>
      </c>
    </row>
    <row r="45" spans="1:56" ht="90" x14ac:dyDescent="0.25">
      <c r="A45" s="27">
        <v>40</v>
      </c>
      <c r="B45" s="42" t="s">
        <v>105</v>
      </c>
      <c r="C45" s="35" t="s">
        <v>246</v>
      </c>
      <c r="D45" s="27" t="s">
        <v>62</v>
      </c>
      <c r="E45" s="27">
        <v>8</v>
      </c>
      <c r="F45" s="27">
        <v>2</v>
      </c>
      <c r="G45" s="39" t="s">
        <v>255</v>
      </c>
      <c r="H45" s="27" t="str">
        <f t="shared" si="0"/>
        <v>Data</v>
      </c>
      <c r="I45" s="27">
        <f>0</f>
        <v>0</v>
      </c>
      <c r="J45" s="27" t="str">
        <f t="shared" si="1"/>
        <v>workout_step</v>
      </c>
      <c r="N45" s="36" t="str">
        <f>IF(VLOOKUP(Data[[#This Row],[Duration Type]],Table_Duration_Type[],3,FALSE)="/","",VLOOKUP(Data[[#This Row],[Duration Type]],Table_Duration_Type[],3,FALSE))</f>
        <v>duration_reps</v>
      </c>
      <c r="O45" s="36">
        <f>IF(N45&lt;&gt;"",IF(N45='Reference Lists'!$C$2,SUBSTITUTE(TEXT(Data[[#This Row],[Duration Value]],"0,0"),",","."),Data[[#This Row],[Duration Value]]),"")</f>
        <v>8</v>
      </c>
      <c r="P45" s="36" t="str">
        <f t="shared" si="34"/>
        <v>XXX</v>
      </c>
      <c r="Q45" s="36" t="s">
        <v>42</v>
      </c>
      <c r="R45" s="36">
        <f>0</f>
        <v>0</v>
      </c>
      <c r="S45" s="36" t="str">
        <f t="shared" si="35"/>
        <v>XXX</v>
      </c>
      <c r="Z45" s="36" t="str">
        <f t="shared" si="36"/>
        <v>notes</v>
      </c>
      <c r="AA45" s="36" t="str">
        <f>IF(Data[[#This Row],[Notes]]="","",_xlfn.CONCAT("""",SUBSTITUTE(Data[[#This Row],[Notes]],CHAR(10),"%breakline%"),""""))</f>
        <v>"Bras gauche%breakline%%breakline%Bras de soutien pas tendu%breakline%Pas verrouiller en haut%breakline%Inspirer en descendant%breakline%Expirer en montant"</v>
      </c>
      <c r="AB45" s="36" t="str">
        <f t="shared" si="37"/>
        <v>XXX</v>
      </c>
      <c r="AC45" s="27" t="s">
        <v>37</v>
      </c>
      <c r="AD45" s="36">
        <f>Data[[#This Row],[Step n°]]-1</f>
        <v>39</v>
      </c>
      <c r="AE45" s="36" t="str">
        <f t="shared" si="38"/>
        <v>XXX</v>
      </c>
      <c r="AF45" s="36" t="str">
        <f t="shared" si="39"/>
        <v>exercise_category</v>
      </c>
      <c r="AG45" s="36">
        <f>IF(_xlfn.IFNA(VLOOKUP(Data[[#This Row],[Exercise]],Table_Exercises[],2,FALSE),"")="","",_xlfn.IFNA(VLOOKUP(Data[[#This Row],[Exercise]],Table_Exercises[],2,FALSE),""))</f>
        <v>30</v>
      </c>
      <c r="AH45" s="36" t="str">
        <f t="shared" si="40"/>
        <v>XXX</v>
      </c>
      <c r="AI45" s="37" t="str">
        <f t="shared" si="41"/>
        <v>exercise_name</v>
      </c>
      <c r="AJ45" s="36">
        <f>_xlfn.IFNA(IF(VLOOKUP(Data[[#This Row],[Exercise]],Table_Exercises[],3,FALSE)="/","",VLOOKUP(Data[[#This Row],[Exercise]],Table_Exercises[],3,FALSE)),"")</f>
        <v>6</v>
      </c>
      <c r="AK45" s="36" t="str">
        <f t="shared" si="42"/>
        <v>XXX</v>
      </c>
      <c r="AL45" s="27" t="str">
        <f>IF(OR(Data[[#This Row],[Weight]]="",Data[[#This Row],[Weight]]=0),"","exercise_weight")</f>
        <v>exercise_weight</v>
      </c>
      <c r="AM45" s="38" t="str">
        <f>IF(OR(Data[[#This Row],[Weight]]="",Data[[#This Row],[Weight]]=0),"",SUBSTITUTE(TEXT(Data[[#This Row],[Weight]],"0,0"),",","."))</f>
        <v>2.0</v>
      </c>
      <c r="AN45" s="36" t="str">
        <f t="shared" si="43"/>
        <v>XXX</v>
      </c>
      <c r="AO45" s="27" t="str">
        <f t="shared" si="44"/>
        <v>weight_display_unit</v>
      </c>
      <c r="AP45" s="38">
        <f t="shared" si="45"/>
        <v>1</v>
      </c>
      <c r="AQ45" s="36" t="str">
        <f t="shared" si="46"/>
        <v>XXX</v>
      </c>
      <c r="AR45" s="27" t="s">
        <v>39</v>
      </c>
      <c r="AS45" s="36">
        <f>VLOOKUP(Data[[#This Row],[Duration Type]],Table_Duration_Type[],2,FALSE)</f>
        <v>29</v>
      </c>
      <c r="AT45" s="36" t="str">
        <f t="shared" si="47"/>
        <v>XXX</v>
      </c>
      <c r="AU45" s="27" t="s">
        <v>41</v>
      </c>
      <c r="AV45" s="36">
        <f>2</f>
        <v>2</v>
      </c>
      <c r="AW45" s="36" t="str">
        <f t="shared" si="48"/>
        <v>XXX</v>
      </c>
      <c r="AX45" s="27" t="s">
        <v>43</v>
      </c>
      <c r="AY45" s="36">
        <f>VLOOKUP(Data[[#This Row],[Set Type]],Table_Intensity[],2,FALSE)</f>
        <v>2</v>
      </c>
      <c r="AZ45" s="36" t="str">
        <f t="shared" si="49"/>
        <v>XXX</v>
      </c>
      <c r="BA45" s="27" t="s">
        <v>152</v>
      </c>
      <c r="BB45" s="27" t="s">
        <v>152</v>
      </c>
      <c r="BC45" s="27" t="s">
        <v>152</v>
      </c>
      <c r="BD45" s="28" t="str">
        <f>IF(Data[[#This Row],[DataCol1]]&lt;&gt;"",SUBSTITUTE(_xlfn.TEXTJOIN(",",TRUE,Data[[#This Row],[DataCol1]:[DataCol48]]),"XXX",""),"")</f>
        <v>Data,0,workout_step,duration_reps,8,,target_value,0,,notes,"Bras gauche%breakline%%breakline%Bras de soutien pas tendu%breakline%Pas verrouiller en haut%breakline%Inspirer en descendant%breakline%Expirer en montant",,message_index,39,,exercise_category,30,,exercise_name,6,,exercise_weight,2.0,,weight_display_unit,1,,duration_type,29,,target_type,2,,intensity,2,,,,</v>
      </c>
    </row>
    <row r="46" spans="1:56" x14ac:dyDescent="0.25">
      <c r="A46" s="27">
        <v>41</v>
      </c>
      <c r="B46" s="42" t="s">
        <v>65</v>
      </c>
      <c r="C46" s="35"/>
      <c r="D46" s="27" t="s">
        <v>79</v>
      </c>
      <c r="H46" s="27" t="str">
        <f t="shared" si="0"/>
        <v>Data</v>
      </c>
      <c r="I46" s="27">
        <f>0</f>
        <v>0</v>
      </c>
      <c r="J46" s="27" t="str">
        <f t="shared" si="1"/>
        <v>workout_step</v>
      </c>
      <c r="N46" s="36" t="str">
        <f>IF(VLOOKUP(Data[[#This Row],[Duration Type]],Table_Duration_Type[],3,FALSE)="/","",VLOOKUP(Data[[#This Row],[Duration Type]],Table_Duration_Type[],3,FALSE))</f>
        <v/>
      </c>
      <c r="O46" s="36" t="str">
        <f>IF(N46&lt;&gt;"",IF(N46='Reference Lists'!$C$2,SUBSTITUTE(TEXT(Data[[#This Row],[Duration Value]],"0,0"),",","."),Data[[#This Row],[Duration Value]]),"")</f>
        <v/>
      </c>
      <c r="P46" s="36" t="str">
        <f t="shared" si="34"/>
        <v/>
      </c>
      <c r="Q46" s="36" t="s">
        <v>42</v>
      </c>
      <c r="R46" s="36">
        <f>0</f>
        <v>0</v>
      </c>
      <c r="S46" s="36" t="str">
        <f t="shared" si="35"/>
        <v>XXX</v>
      </c>
      <c r="Z46" s="36" t="str">
        <f t="shared" si="36"/>
        <v/>
      </c>
      <c r="AA46" s="36" t="str">
        <f>IF(Data[[#This Row],[Notes]]="","",_xlfn.CONCAT("""",SUBSTITUTE(Data[[#This Row],[Notes]],CHAR(10),"%breakline%"),""""))</f>
        <v/>
      </c>
      <c r="AB46" s="36" t="str">
        <f t="shared" si="37"/>
        <v/>
      </c>
      <c r="AC46" s="27" t="s">
        <v>37</v>
      </c>
      <c r="AD46" s="36">
        <f>Data[[#This Row],[Step n°]]-1</f>
        <v>40</v>
      </c>
      <c r="AE46" s="36" t="str">
        <f t="shared" si="38"/>
        <v>XXX</v>
      </c>
      <c r="AF46" s="36" t="str">
        <f t="shared" si="39"/>
        <v/>
      </c>
      <c r="AG46" s="36" t="str">
        <f>IF(_xlfn.IFNA(VLOOKUP(Data[[#This Row],[Exercise]],Table_Exercises[],2,FALSE),"")="","",_xlfn.IFNA(VLOOKUP(Data[[#This Row],[Exercise]],Table_Exercises[],2,FALSE),""))</f>
        <v/>
      </c>
      <c r="AH46" s="36" t="str">
        <f t="shared" si="40"/>
        <v/>
      </c>
      <c r="AI46" s="37" t="str">
        <f t="shared" si="41"/>
        <v/>
      </c>
      <c r="AJ46" s="36" t="str">
        <f>_xlfn.IFNA(IF(VLOOKUP(Data[[#This Row],[Exercise]],Table_Exercises[],3,FALSE)="/","",VLOOKUP(Data[[#This Row],[Exercise]],Table_Exercises[],3,FALSE)),"")</f>
        <v/>
      </c>
      <c r="AK46" s="36" t="str">
        <f t="shared" si="42"/>
        <v/>
      </c>
      <c r="AL46" s="27" t="str">
        <f>IF(OR(Data[[#This Row],[Weight]]="",Data[[#This Row],[Weight]]=0),"","exercise_weight")</f>
        <v/>
      </c>
      <c r="AM46" s="38" t="str">
        <f>IF(OR(Data[[#This Row],[Weight]]="",Data[[#This Row],[Weight]]=0),"",SUBSTITUTE(TEXT(Data[[#This Row],[Weight]],"0,0"),",","."))</f>
        <v/>
      </c>
      <c r="AN46" s="36" t="str">
        <f t="shared" si="43"/>
        <v/>
      </c>
      <c r="AO46" s="27" t="str">
        <f t="shared" si="44"/>
        <v/>
      </c>
      <c r="AP46" s="38" t="str">
        <f t="shared" si="45"/>
        <v/>
      </c>
      <c r="AQ46" s="36" t="str">
        <f t="shared" si="46"/>
        <v/>
      </c>
      <c r="AR46" s="27" t="s">
        <v>39</v>
      </c>
      <c r="AS46" s="36">
        <f>VLOOKUP(Data[[#This Row],[Duration Type]],Table_Duration_Type[],2,FALSE)</f>
        <v>5</v>
      </c>
      <c r="AT46" s="36" t="str">
        <f t="shared" si="47"/>
        <v>XXX</v>
      </c>
      <c r="AU46" s="27" t="s">
        <v>41</v>
      </c>
      <c r="AV46" s="36">
        <f>2</f>
        <v>2</v>
      </c>
      <c r="AW46" s="36" t="str">
        <f t="shared" si="48"/>
        <v>XXX</v>
      </c>
      <c r="AX46" s="27" t="s">
        <v>43</v>
      </c>
      <c r="AY46" s="36">
        <f>VLOOKUP(Data[[#This Row],[Set Type]],Table_Intensity[],2,FALSE)</f>
        <v>1</v>
      </c>
      <c r="AZ46" s="36" t="str">
        <f t="shared" si="49"/>
        <v>XXX</v>
      </c>
      <c r="BA46" s="27" t="s">
        <v>152</v>
      </c>
      <c r="BB46" s="27" t="s">
        <v>152</v>
      </c>
      <c r="BC46" s="27" t="s">
        <v>152</v>
      </c>
      <c r="BD46" s="28" t="str">
        <f>IF(Data[[#This Row],[DataCol1]]&lt;&gt;"",SUBSTITUTE(_xlfn.TEXTJOIN(",",TRUE,Data[[#This Row],[DataCol1]:[DataCol48]]),"XXX",""),"")</f>
        <v>Data,0,workout_step,target_value,0,,message_index,40,,duration_type,5,,target_type,2,,intensity,1,,,,</v>
      </c>
    </row>
    <row r="47" spans="1:56" ht="90" x14ac:dyDescent="0.25">
      <c r="A47" s="27">
        <v>42</v>
      </c>
      <c r="B47" s="42" t="s">
        <v>64</v>
      </c>
      <c r="C47" s="35" t="s">
        <v>246</v>
      </c>
      <c r="D47" s="27" t="s">
        <v>62</v>
      </c>
      <c r="E47" s="27">
        <v>17</v>
      </c>
      <c r="F47" s="27">
        <v>4</v>
      </c>
      <c r="G47" s="39" t="s">
        <v>255</v>
      </c>
      <c r="H47" s="27" t="str">
        <f t="shared" si="0"/>
        <v>Data</v>
      </c>
      <c r="I47" s="27">
        <f>0</f>
        <v>0</v>
      </c>
      <c r="J47" s="27" t="str">
        <f t="shared" si="1"/>
        <v>workout_step</v>
      </c>
      <c r="N47" s="36" t="str">
        <f>IF(VLOOKUP(Data[[#This Row],[Duration Type]],Table_Duration_Type[],3,FALSE)="/","",VLOOKUP(Data[[#This Row],[Duration Type]],Table_Duration_Type[],3,FALSE))</f>
        <v>duration_reps</v>
      </c>
      <c r="O47" s="36">
        <f>IF(N47&lt;&gt;"",IF(N47='Reference Lists'!$C$2,SUBSTITUTE(TEXT(Data[[#This Row],[Duration Value]],"0,0"),",","."),Data[[#This Row],[Duration Value]]),"")</f>
        <v>17</v>
      </c>
      <c r="P47" s="36" t="str">
        <f t="shared" si="34"/>
        <v>XXX</v>
      </c>
      <c r="Q47" s="36" t="s">
        <v>42</v>
      </c>
      <c r="R47" s="36">
        <f>0</f>
        <v>0</v>
      </c>
      <c r="S47" s="36" t="str">
        <f t="shared" si="35"/>
        <v>XXX</v>
      </c>
      <c r="Z47" s="36" t="str">
        <f t="shared" si="36"/>
        <v>notes</v>
      </c>
      <c r="AA47" s="36" t="str">
        <f>IF(Data[[#This Row],[Notes]]="","",_xlfn.CONCAT("""",SUBSTITUTE(Data[[#This Row],[Notes]],CHAR(10),"%breakline%"),""""))</f>
        <v>"Bras gauche%breakline%%breakline%Bras de soutien pas tendu%breakline%Pas verrouiller en haut%breakline%Inspirer en descendant%breakline%Expirer en montant"</v>
      </c>
      <c r="AB47" s="36" t="str">
        <f t="shared" si="37"/>
        <v>XXX</v>
      </c>
      <c r="AC47" s="27" t="s">
        <v>37</v>
      </c>
      <c r="AD47" s="36">
        <f>Data[[#This Row],[Step n°]]-1</f>
        <v>41</v>
      </c>
      <c r="AE47" s="36" t="str">
        <f t="shared" si="38"/>
        <v>XXX</v>
      </c>
      <c r="AF47" s="36" t="str">
        <f t="shared" si="39"/>
        <v>exercise_category</v>
      </c>
      <c r="AG47" s="36">
        <f>IF(_xlfn.IFNA(VLOOKUP(Data[[#This Row],[Exercise]],Table_Exercises[],2,FALSE),"")="","",_xlfn.IFNA(VLOOKUP(Data[[#This Row],[Exercise]],Table_Exercises[],2,FALSE),""))</f>
        <v>30</v>
      </c>
      <c r="AH47" s="36" t="str">
        <f t="shared" si="40"/>
        <v>XXX</v>
      </c>
      <c r="AI47" s="37" t="str">
        <f t="shared" si="41"/>
        <v>exercise_name</v>
      </c>
      <c r="AJ47" s="36">
        <f>_xlfn.IFNA(IF(VLOOKUP(Data[[#This Row],[Exercise]],Table_Exercises[],3,FALSE)="/","",VLOOKUP(Data[[#This Row],[Exercise]],Table_Exercises[],3,FALSE)),"")</f>
        <v>6</v>
      </c>
      <c r="AK47" s="36" t="str">
        <f t="shared" si="42"/>
        <v>XXX</v>
      </c>
      <c r="AL47" s="27" t="str">
        <f>IF(OR(Data[[#This Row],[Weight]]="",Data[[#This Row],[Weight]]=0),"","exercise_weight")</f>
        <v>exercise_weight</v>
      </c>
      <c r="AM47" s="38" t="str">
        <f>IF(OR(Data[[#This Row],[Weight]]="",Data[[#This Row],[Weight]]=0),"",SUBSTITUTE(TEXT(Data[[#This Row],[Weight]],"0,0"),",","."))</f>
        <v>4.0</v>
      </c>
      <c r="AN47" s="36" t="str">
        <f t="shared" si="43"/>
        <v>XXX</v>
      </c>
      <c r="AO47" s="27" t="str">
        <f t="shared" si="44"/>
        <v>weight_display_unit</v>
      </c>
      <c r="AP47" s="38">
        <f t="shared" si="45"/>
        <v>1</v>
      </c>
      <c r="AQ47" s="36" t="str">
        <f t="shared" si="46"/>
        <v>XXX</v>
      </c>
      <c r="AR47" s="27" t="s">
        <v>39</v>
      </c>
      <c r="AS47" s="36">
        <f>VLOOKUP(Data[[#This Row],[Duration Type]],Table_Duration_Type[],2,FALSE)</f>
        <v>29</v>
      </c>
      <c r="AT47" s="36" t="str">
        <f t="shared" si="47"/>
        <v>XXX</v>
      </c>
      <c r="AU47" s="27" t="s">
        <v>41</v>
      </c>
      <c r="AV47" s="36">
        <f>2</f>
        <v>2</v>
      </c>
      <c r="AW47" s="36" t="str">
        <f t="shared" si="48"/>
        <v>XXX</v>
      </c>
      <c r="AX47" s="27" t="s">
        <v>43</v>
      </c>
      <c r="AY47" s="36">
        <f>VLOOKUP(Data[[#This Row],[Set Type]],Table_Intensity[],2,FALSE)</f>
        <v>0</v>
      </c>
      <c r="AZ47" s="36" t="str">
        <f t="shared" si="49"/>
        <v>XXX</v>
      </c>
      <c r="BA47" s="27" t="s">
        <v>152</v>
      </c>
      <c r="BB47" s="27" t="s">
        <v>152</v>
      </c>
      <c r="BC47" s="27" t="s">
        <v>152</v>
      </c>
      <c r="BD47" s="28" t="str">
        <f>IF(Data[[#This Row],[DataCol1]]&lt;&gt;"",SUBSTITUTE(_xlfn.TEXTJOIN(",",TRUE,Data[[#This Row],[DataCol1]:[DataCol48]]),"XXX",""),"")</f>
        <v>Data,0,workout_step,duration_reps,17,,target_value,0,,notes,"Bras gauche%breakline%%breakline%Bras de soutien pas tendu%breakline%Pas verrouiller en haut%breakline%Inspirer en descendant%breakline%Expirer en montant",,message_index,41,,exercise_category,30,,exercise_name,6,,exercise_weight,4.0,,weight_display_unit,1,,duration_type,29,,target_type,2,,intensity,0,,,,</v>
      </c>
    </row>
    <row r="48" spans="1:56" x14ac:dyDescent="0.25">
      <c r="A48" s="27">
        <v>43</v>
      </c>
      <c r="B48" s="42" t="s">
        <v>65</v>
      </c>
      <c r="C48" s="35"/>
      <c r="D48" s="27" t="s">
        <v>79</v>
      </c>
      <c r="H48" s="27" t="str">
        <f t="shared" si="0"/>
        <v>Data</v>
      </c>
      <c r="I48" s="27">
        <f>0</f>
        <v>0</v>
      </c>
      <c r="J48" s="27" t="str">
        <f t="shared" si="1"/>
        <v>workout_step</v>
      </c>
      <c r="N48" s="36" t="str">
        <f>IF(VLOOKUP(Data[[#This Row],[Duration Type]],Table_Duration_Type[],3,FALSE)="/","",VLOOKUP(Data[[#This Row],[Duration Type]],Table_Duration_Type[],3,FALSE))</f>
        <v/>
      </c>
      <c r="O48" s="36" t="str">
        <f>IF(N48&lt;&gt;"",IF(N48='Reference Lists'!$C$2,SUBSTITUTE(TEXT(Data[[#This Row],[Duration Value]],"0,0"),",","."),Data[[#This Row],[Duration Value]]),"")</f>
        <v/>
      </c>
      <c r="P48" s="36" t="str">
        <f t="shared" si="34"/>
        <v/>
      </c>
      <c r="Q48" s="36" t="s">
        <v>42</v>
      </c>
      <c r="R48" s="36">
        <f>0</f>
        <v>0</v>
      </c>
      <c r="S48" s="36" t="str">
        <f t="shared" si="35"/>
        <v>XXX</v>
      </c>
      <c r="Z48" s="36" t="str">
        <f t="shared" si="36"/>
        <v/>
      </c>
      <c r="AA48" s="36" t="str">
        <f>IF(Data[[#This Row],[Notes]]="","",_xlfn.CONCAT("""",SUBSTITUTE(Data[[#This Row],[Notes]],CHAR(10),"%breakline%"),""""))</f>
        <v/>
      </c>
      <c r="AB48" s="36" t="str">
        <f t="shared" si="37"/>
        <v/>
      </c>
      <c r="AC48" s="27" t="s">
        <v>37</v>
      </c>
      <c r="AD48" s="36">
        <f>Data[[#This Row],[Step n°]]-1</f>
        <v>42</v>
      </c>
      <c r="AE48" s="36" t="str">
        <f t="shared" si="38"/>
        <v>XXX</v>
      </c>
      <c r="AF48" s="36" t="str">
        <f t="shared" si="39"/>
        <v/>
      </c>
      <c r="AG48" s="36" t="str">
        <f>IF(_xlfn.IFNA(VLOOKUP(Data[[#This Row],[Exercise]],Table_Exercises[],2,FALSE),"")="","",_xlfn.IFNA(VLOOKUP(Data[[#This Row],[Exercise]],Table_Exercises[],2,FALSE),""))</f>
        <v/>
      </c>
      <c r="AH48" s="36" t="str">
        <f t="shared" si="40"/>
        <v/>
      </c>
      <c r="AI48" s="37" t="str">
        <f t="shared" si="41"/>
        <v/>
      </c>
      <c r="AJ48" s="36" t="str">
        <f>_xlfn.IFNA(IF(VLOOKUP(Data[[#This Row],[Exercise]],Table_Exercises[],3,FALSE)="/","",VLOOKUP(Data[[#This Row],[Exercise]],Table_Exercises[],3,FALSE)),"")</f>
        <v/>
      </c>
      <c r="AK48" s="36" t="str">
        <f t="shared" si="42"/>
        <v/>
      </c>
      <c r="AL48" s="27" t="str">
        <f>IF(OR(Data[[#This Row],[Weight]]="",Data[[#This Row],[Weight]]=0),"","exercise_weight")</f>
        <v/>
      </c>
      <c r="AM48" s="38" t="str">
        <f>IF(OR(Data[[#This Row],[Weight]]="",Data[[#This Row],[Weight]]=0),"",SUBSTITUTE(TEXT(Data[[#This Row],[Weight]],"0,0"),",","."))</f>
        <v/>
      </c>
      <c r="AN48" s="36" t="str">
        <f t="shared" si="43"/>
        <v/>
      </c>
      <c r="AO48" s="27" t="str">
        <f t="shared" si="44"/>
        <v/>
      </c>
      <c r="AP48" s="38" t="str">
        <f t="shared" si="45"/>
        <v/>
      </c>
      <c r="AQ48" s="36" t="str">
        <f t="shared" si="46"/>
        <v/>
      </c>
      <c r="AR48" s="27" t="s">
        <v>39</v>
      </c>
      <c r="AS48" s="36">
        <f>VLOOKUP(Data[[#This Row],[Duration Type]],Table_Duration_Type[],2,FALSE)</f>
        <v>5</v>
      </c>
      <c r="AT48" s="36" t="str">
        <f t="shared" si="47"/>
        <v>XXX</v>
      </c>
      <c r="AU48" s="27" t="s">
        <v>41</v>
      </c>
      <c r="AV48" s="36">
        <f>2</f>
        <v>2</v>
      </c>
      <c r="AW48" s="36" t="str">
        <f t="shared" si="48"/>
        <v>XXX</v>
      </c>
      <c r="AX48" s="27" t="s">
        <v>43</v>
      </c>
      <c r="AY48" s="36">
        <f>VLOOKUP(Data[[#This Row],[Set Type]],Table_Intensity[],2,FALSE)</f>
        <v>1</v>
      </c>
      <c r="AZ48" s="36" t="str">
        <f t="shared" si="49"/>
        <v>XXX</v>
      </c>
      <c r="BA48" s="27" t="s">
        <v>152</v>
      </c>
      <c r="BB48" s="27" t="s">
        <v>152</v>
      </c>
      <c r="BC48" s="27" t="s">
        <v>152</v>
      </c>
      <c r="BD48" s="28" t="str">
        <f>IF(Data[[#This Row],[DataCol1]]&lt;&gt;"",SUBSTITUTE(_xlfn.TEXTJOIN(",",TRUE,Data[[#This Row],[DataCol1]:[DataCol48]]),"XXX",""),"")</f>
        <v>Data,0,workout_step,target_value,0,,message_index,42,,duration_type,5,,target_type,2,,intensity,1,,,,</v>
      </c>
    </row>
    <row r="49" spans="1:56" ht="90" x14ac:dyDescent="0.25">
      <c r="A49" s="27">
        <v>44</v>
      </c>
      <c r="B49" s="42" t="s">
        <v>64</v>
      </c>
      <c r="C49" s="35" t="s">
        <v>246</v>
      </c>
      <c r="D49" s="27" t="s">
        <v>62</v>
      </c>
      <c r="E49" s="27">
        <v>17</v>
      </c>
      <c r="F49" s="27">
        <v>4</v>
      </c>
      <c r="G49" s="39" t="s">
        <v>254</v>
      </c>
      <c r="H49" s="27" t="str">
        <f t="shared" si="0"/>
        <v>Data</v>
      </c>
      <c r="I49" s="27">
        <f>0</f>
        <v>0</v>
      </c>
      <c r="J49" s="27" t="str">
        <f t="shared" si="1"/>
        <v>workout_step</v>
      </c>
      <c r="N49" s="36" t="str">
        <f>IF(VLOOKUP(Data[[#This Row],[Duration Type]],Table_Duration_Type[],3,FALSE)="/","",VLOOKUP(Data[[#This Row],[Duration Type]],Table_Duration_Type[],3,FALSE))</f>
        <v>duration_reps</v>
      </c>
      <c r="O49" s="36">
        <f>IF(N49&lt;&gt;"",IF(N49='Reference Lists'!$C$2,SUBSTITUTE(TEXT(Data[[#This Row],[Duration Value]],"0,0"),",","."),Data[[#This Row],[Duration Value]]),"")</f>
        <v>17</v>
      </c>
      <c r="P49" s="36" t="str">
        <f t="shared" si="34"/>
        <v>XXX</v>
      </c>
      <c r="Q49" s="36" t="s">
        <v>42</v>
      </c>
      <c r="R49" s="36">
        <f>0</f>
        <v>0</v>
      </c>
      <c r="S49" s="36" t="str">
        <f t="shared" si="35"/>
        <v>XXX</v>
      </c>
      <c r="Z49" s="36" t="str">
        <f t="shared" si="36"/>
        <v>notes</v>
      </c>
      <c r="AA49" s="36" t="str">
        <f>IF(Data[[#This Row],[Notes]]="","",_xlfn.CONCAT("""",SUBSTITUTE(Data[[#This Row],[Notes]],CHAR(10),"%breakline%"),""""))</f>
        <v>"Bras droit%breakline%%breakline%Bras de soutien pas tendu%breakline%Pas verrouiller en haut%breakline%Inspirer en descendant%breakline%Expirer en montant"</v>
      </c>
      <c r="AB49" s="36" t="str">
        <f t="shared" si="37"/>
        <v>XXX</v>
      </c>
      <c r="AC49" s="27" t="s">
        <v>37</v>
      </c>
      <c r="AD49" s="36">
        <f>Data[[#This Row],[Step n°]]-1</f>
        <v>43</v>
      </c>
      <c r="AE49" s="36" t="str">
        <f t="shared" si="38"/>
        <v>XXX</v>
      </c>
      <c r="AF49" s="36" t="str">
        <f t="shared" si="39"/>
        <v>exercise_category</v>
      </c>
      <c r="AG49" s="36">
        <f>IF(_xlfn.IFNA(VLOOKUP(Data[[#This Row],[Exercise]],Table_Exercises[],2,FALSE),"")="","",_xlfn.IFNA(VLOOKUP(Data[[#This Row],[Exercise]],Table_Exercises[],2,FALSE),""))</f>
        <v>30</v>
      </c>
      <c r="AH49" s="36" t="str">
        <f t="shared" si="40"/>
        <v>XXX</v>
      </c>
      <c r="AI49" s="37" t="str">
        <f t="shared" si="41"/>
        <v>exercise_name</v>
      </c>
      <c r="AJ49" s="36">
        <f>_xlfn.IFNA(IF(VLOOKUP(Data[[#This Row],[Exercise]],Table_Exercises[],3,FALSE)="/","",VLOOKUP(Data[[#This Row],[Exercise]],Table_Exercises[],3,FALSE)),"")</f>
        <v>6</v>
      </c>
      <c r="AK49" s="36" t="str">
        <f t="shared" si="42"/>
        <v>XXX</v>
      </c>
      <c r="AL49" s="27" t="str">
        <f>IF(OR(Data[[#This Row],[Weight]]="",Data[[#This Row],[Weight]]=0),"","exercise_weight")</f>
        <v>exercise_weight</v>
      </c>
      <c r="AM49" s="38" t="str">
        <f>IF(OR(Data[[#This Row],[Weight]]="",Data[[#This Row],[Weight]]=0),"",SUBSTITUTE(TEXT(Data[[#This Row],[Weight]],"0,0"),",","."))</f>
        <v>4.0</v>
      </c>
      <c r="AN49" s="36" t="str">
        <f t="shared" si="43"/>
        <v>XXX</v>
      </c>
      <c r="AO49" s="27" t="str">
        <f t="shared" si="44"/>
        <v>weight_display_unit</v>
      </c>
      <c r="AP49" s="38">
        <f t="shared" si="45"/>
        <v>1</v>
      </c>
      <c r="AQ49" s="36" t="str">
        <f t="shared" si="46"/>
        <v>XXX</v>
      </c>
      <c r="AR49" s="27" t="s">
        <v>39</v>
      </c>
      <c r="AS49" s="36">
        <f>VLOOKUP(Data[[#This Row],[Duration Type]],Table_Duration_Type[],2,FALSE)</f>
        <v>29</v>
      </c>
      <c r="AT49" s="36" t="str">
        <f t="shared" si="47"/>
        <v>XXX</v>
      </c>
      <c r="AU49" s="27" t="s">
        <v>41</v>
      </c>
      <c r="AV49" s="36">
        <f>2</f>
        <v>2</v>
      </c>
      <c r="AW49" s="36" t="str">
        <f t="shared" si="48"/>
        <v>XXX</v>
      </c>
      <c r="AX49" s="27" t="s">
        <v>43</v>
      </c>
      <c r="AY49" s="36">
        <f>VLOOKUP(Data[[#This Row],[Set Type]],Table_Intensity[],2,FALSE)</f>
        <v>0</v>
      </c>
      <c r="AZ49" s="36" t="str">
        <f t="shared" si="49"/>
        <v>XXX</v>
      </c>
      <c r="BA49" s="27" t="s">
        <v>152</v>
      </c>
      <c r="BB49" s="27" t="s">
        <v>152</v>
      </c>
      <c r="BC49" s="27" t="s">
        <v>152</v>
      </c>
      <c r="BD49" s="28" t="str">
        <f>IF(Data[[#This Row],[DataCol1]]&lt;&gt;"",SUBSTITUTE(_xlfn.TEXTJOIN(",",TRUE,Data[[#This Row],[DataCol1]:[DataCol48]]),"XXX",""),"")</f>
        <v>Data,0,workout_step,duration_reps,17,,target_value,0,,notes,"Bras droit%breakline%%breakline%Bras de soutien pas tendu%breakline%Pas verrouiller en haut%breakline%Inspirer en descendant%breakline%Expirer en montant",,message_index,43,,exercise_category,30,,exercise_name,6,,exercise_weight,4.0,,weight_display_unit,1,,duration_type,29,,target_type,2,,intensity,0,,,,</v>
      </c>
    </row>
    <row r="50" spans="1:56" x14ac:dyDescent="0.25">
      <c r="A50" s="27">
        <v>45</v>
      </c>
      <c r="B50" s="42" t="s">
        <v>65</v>
      </c>
      <c r="C50" s="35"/>
      <c r="D50" s="27" t="s">
        <v>61</v>
      </c>
      <c r="E50" s="27">
        <v>60</v>
      </c>
      <c r="H50" s="27" t="str">
        <f t="shared" si="0"/>
        <v>Data</v>
      </c>
      <c r="I50" s="27">
        <f>0</f>
        <v>0</v>
      </c>
      <c r="J50" s="27" t="str">
        <f t="shared" si="1"/>
        <v>workout_step</v>
      </c>
      <c r="N50" s="36" t="str">
        <f>IF(VLOOKUP(Data[[#This Row],[Duration Type]],Table_Duration_Type[],3,FALSE)="/","",VLOOKUP(Data[[#This Row],[Duration Type]],Table_Duration_Type[],3,FALSE))</f>
        <v>duration_time</v>
      </c>
      <c r="O50" s="36" t="str">
        <f>IF(N50&lt;&gt;"",IF(N50='Reference Lists'!$C$2,SUBSTITUTE(TEXT(Data[[#This Row],[Duration Value]],"0,0"),",","."),Data[[#This Row],[Duration Value]]),"")</f>
        <v>60.0</v>
      </c>
      <c r="P50" s="36" t="str">
        <f t="shared" si="34"/>
        <v>XXX</v>
      </c>
      <c r="Q50" s="36" t="s">
        <v>42</v>
      </c>
      <c r="R50" s="36">
        <f>0</f>
        <v>0</v>
      </c>
      <c r="S50" s="36" t="str">
        <f t="shared" si="35"/>
        <v>XXX</v>
      </c>
      <c r="Z50" s="36" t="str">
        <f t="shared" si="36"/>
        <v/>
      </c>
      <c r="AA50" s="36" t="str">
        <f>IF(Data[[#This Row],[Notes]]="","",_xlfn.CONCAT("""",SUBSTITUTE(Data[[#This Row],[Notes]],CHAR(10),"%breakline%"),""""))</f>
        <v/>
      </c>
      <c r="AB50" s="36" t="str">
        <f t="shared" si="37"/>
        <v/>
      </c>
      <c r="AC50" s="27" t="s">
        <v>37</v>
      </c>
      <c r="AD50" s="36">
        <f>Data[[#This Row],[Step n°]]-1</f>
        <v>44</v>
      </c>
      <c r="AE50" s="36" t="str">
        <f t="shared" si="38"/>
        <v>XXX</v>
      </c>
      <c r="AF50" s="36" t="str">
        <f t="shared" si="39"/>
        <v/>
      </c>
      <c r="AG50" s="36" t="str">
        <f>IF(_xlfn.IFNA(VLOOKUP(Data[[#This Row],[Exercise]],Table_Exercises[],2,FALSE),"")="","",_xlfn.IFNA(VLOOKUP(Data[[#This Row],[Exercise]],Table_Exercises[],2,FALSE),""))</f>
        <v/>
      </c>
      <c r="AH50" s="36" t="str">
        <f t="shared" si="40"/>
        <v/>
      </c>
      <c r="AI50" s="37" t="str">
        <f t="shared" si="41"/>
        <v/>
      </c>
      <c r="AJ50" s="36" t="str">
        <f>_xlfn.IFNA(IF(VLOOKUP(Data[[#This Row],[Exercise]],Table_Exercises[],3,FALSE)="/","",VLOOKUP(Data[[#This Row],[Exercise]],Table_Exercises[],3,FALSE)),"")</f>
        <v/>
      </c>
      <c r="AK50" s="36" t="str">
        <f t="shared" si="42"/>
        <v/>
      </c>
      <c r="AL50" s="27" t="str">
        <f>IF(OR(Data[[#This Row],[Weight]]="",Data[[#This Row],[Weight]]=0),"","exercise_weight")</f>
        <v/>
      </c>
      <c r="AM50" s="38" t="str">
        <f>IF(OR(Data[[#This Row],[Weight]]="",Data[[#This Row],[Weight]]=0),"",SUBSTITUTE(TEXT(Data[[#This Row],[Weight]],"0,0"),",","."))</f>
        <v/>
      </c>
      <c r="AN50" s="36" t="str">
        <f t="shared" si="43"/>
        <v/>
      </c>
      <c r="AO50" s="27" t="str">
        <f t="shared" si="44"/>
        <v/>
      </c>
      <c r="AP50" s="38" t="str">
        <f t="shared" si="45"/>
        <v/>
      </c>
      <c r="AQ50" s="36" t="str">
        <f t="shared" si="46"/>
        <v/>
      </c>
      <c r="AR50" s="27" t="s">
        <v>39</v>
      </c>
      <c r="AS50" s="36">
        <f>VLOOKUP(Data[[#This Row],[Duration Type]],Table_Duration_Type[],2,FALSE)</f>
        <v>0</v>
      </c>
      <c r="AT50" s="36" t="str">
        <f t="shared" si="47"/>
        <v>XXX</v>
      </c>
      <c r="AU50" s="27" t="s">
        <v>41</v>
      </c>
      <c r="AV50" s="36">
        <f>2</f>
        <v>2</v>
      </c>
      <c r="AW50" s="36" t="str">
        <f t="shared" si="48"/>
        <v>XXX</v>
      </c>
      <c r="AX50" s="27" t="s">
        <v>43</v>
      </c>
      <c r="AY50" s="36">
        <f>VLOOKUP(Data[[#This Row],[Set Type]],Table_Intensity[],2,FALSE)</f>
        <v>1</v>
      </c>
      <c r="AZ50" s="36" t="str">
        <f t="shared" si="49"/>
        <v>XXX</v>
      </c>
      <c r="BA50" s="27" t="s">
        <v>152</v>
      </c>
      <c r="BB50" s="27" t="s">
        <v>152</v>
      </c>
      <c r="BC50" s="27" t="s">
        <v>152</v>
      </c>
      <c r="BD50" s="28" t="str">
        <f>IF(Data[[#This Row],[DataCol1]]&lt;&gt;"",SUBSTITUTE(_xlfn.TEXTJOIN(",",TRUE,Data[[#This Row],[DataCol1]:[DataCol48]]),"XXX",""),"")</f>
        <v>Data,0,workout_step,duration_time,60.0,,target_value,0,,message_index,44,,duration_type,0,,target_type,2,,intensity,1,,,,</v>
      </c>
    </row>
    <row r="51" spans="1:56" ht="90" x14ac:dyDescent="0.25">
      <c r="A51" s="27">
        <v>46</v>
      </c>
      <c r="B51" s="42" t="s">
        <v>64</v>
      </c>
      <c r="C51" s="35" t="s">
        <v>246</v>
      </c>
      <c r="D51" s="27" t="s">
        <v>62</v>
      </c>
      <c r="E51" s="27">
        <v>17</v>
      </c>
      <c r="F51" s="27">
        <v>4</v>
      </c>
      <c r="G51" s="39" t="s">
        <v>255</v>
      </c>
      <c r="H51" s="27" t="str">
        <f t="shared" si="0"/>
        <v>Data</v>
      </c>
      <c r="I51" s="27">
        <f>0</f>
        <v>0</v>
      </c>
      <c r="J51" s="27" t="str">
        <f t="shared" si="1"/>
        <v>workout_step</v>
      </c>
      <c r="N51" s="36" t="str">
        <f>IF(VLOOKUP(Data[[#This Row],[Duration Type]],Table_Duration_Type[],3,FALSE)="/","",VLOOKUP(Data[[#This Row],[Duration Type]],Table_Duration_Type[],3,FALSE))</f>
        <v>duration_reps</v>
      </c>
      <c r="O51" s="36">
        <f>IF(N51&lt;&gt;"",IF(N51='Reference Lists'!$C$2,SUBSTITUTE(TEXT(Data[[#This Row],[Duration Value]],"0,0"),",","."),Data[[#This Row],[Duration Value]]),"")</f>
        <v>17</v>
      </c>
      <c r="P51" s="36" t="str">
        <f t="shared" si="34"/>
        <v>XXX</v>
      </c>
      <c r="Q51" s="36" t="s">
        <v>42</v>
      </c>
      <c r="R51" s="36">
        <f>0</f>
        <v>0</v>
      </c>
      <c r="S51" s="36" t="str">
        <f t="shared" si="35"/>
        <v>XXX</v>
      </c>
      <c r="Z51" s="36" t="str">
        <f t="shared" si="36"/>
        <v>notes</v>
      </c>
      <c r="AA51" s="36" t="str">
        <f>IF(Data[[#This Row],[Notes]]="","",_xlfn.CONCAT("""",SUBSTITUTE(Data[[#This Row],[Notes]],CHAR(10),"%breakline%"),""""))</f>
        <v>"Bras gauche%breakline%%breakline%Bras de soutien pas tendu%breakline%Pas verrouiller en haut%breakline%Inspirer en descendant%breakline%Expirer en montant"</v>
      </c>
      <c r="AB51" s="36" t="str">
        <f t="shared" si="37"/>
        <v>XXX</v>
      </c>
      <c r="AC51" s="27" t="s">
        <v>37</v>
      </c>
      <c r="AD51" s="36">
        <f>Data[[#This Row],[Step n°]]-1</f>
        <v>45</v>
      </c>
      <c r="AE51" s="36" t="str">
        <f t="shared" si="38"/>
        <v>XXX</v>
      </c>
      <c r="AF51" s="36" t="str">
        <f t="shared" si="39"/>
        <v>exercise_category</v>
      </c>
      <c r="AG51" s="36">
        <f>IF(_xlfn.IFNA(VLOOKUP(Data[[#This Row],[Exercise]],Table_Exercises[],2,FALSE),"")="","",_xlfn.IFNA(VLOOKUP(Data[[#This Row],[Exercise]],Table_Exercises[],2,FALSE),""))</f>
        <v>30</v>
      </c>
      <c r="AH51" s="36" t="str">
        <f t="shared" si="40"/>
        <v>XXX</v>
      </c>
      <c r="AI51" s="37" t="str">
        <f t="shared" si="41"/>
        <v>exercise_name</v>
      </c>
      <c r="AJ51" s="36">
        <f>_xlfn.IFNA(IF(VLOOKUP(Data[[#This Row],[Exercise]],Table_Exercises[],3,FALSE)="/","",VLOOKUP(Data[[#This Row],[Exercise]],Table_Exercises[],3,FALSE)),"")</f>
        <v>6</v>
      </c>
      <c r="AK51" s="36" t="str">
        <f t="shared" si="42"/>
        <v>XXX</v>
      </c>
      <c r="AL51" s="27" t="str">
        <f>IF(OR(Data[[#This Row],[Weight]]="",Data[[#This Row],[Weight]]=0),"","exercise_weight")</f>
        <v>exercise_weight</v>
      </c>
      <c r="AM51" s="38" t="str">
        <f>IF(OR(Data[[#This Row],[Weight]]="",Data[[#This Row],[Weight]]=0),"",SUBSTITUTE(TEXT(Data[[#This Row],[Weight]],"0,0"),",","."))</f>
        <v>4.0</v>
      </c>
      <c r="AN51" s="36" t="str">
        <f t="shared" si="43"/>
        <v>XXX</v>
      </c>
      <c r="AO51" s="27" t="str">
        <f t="shared" si="44"/>
        <v>weight_display_unit</v>
      </c>
      <c r="AP51" s="38">
        <f t="shared" si="45"/>
        <v>1</v>
      </c>
      <c r="AQ51" s="36" t="str">
        <f t="shared" si="46"/>
        <v>XXX</v>
      </c>
      <c r="AR51" s="27" t="s">
        <v>39</v>
      </c>
      <c r="AS51" s="36">
        <f>VLOOKUP(Data[[#This Row],[Duration Type]],Table_Duration_Type[],2,FALSE)</f>
        <v>29</v>
      </c>
      <c r="AT51" s="36" t="str">
        <f t="shared" si="47"/>
        <v>XXX</v>
      </c>
      <c r="AU51" s="27" t="s">
        <v>41</v>
      </c>
      <c r="AV51" s="36">
        <f>2</f>
        <v>2</v>
      </c>
      <c r="AW51" s="36" t="str">
        <f t="shared" si="48"/>
        <v>XXX</v>
      </c>
      <c r="AX51" s="27" t="s">
        <v>43</v>
      </c>
      <c r="AY51" s="36">
        <f>VLOOKUP(Data[[#This Row],[Set Type]],Table_Intensity[],2,FALSE)</f>
        <v>0</v>
      </c>
      <c r="AZ51" s="36" t="str">
        <f t="shared" si="49"/>
        <v>XXX</v>
      </c>
      <c r="BA51" s="27" t="s">
        <v>152</v>
      </c>
      <c r="BB51" s="27" t="s">
        <v>152</v>
      </c>
      <c r="BC51" s="27" t="s">
        <v>152</v>
      </c>
      <c r="BD51" s="28" t="str">
        <f>IF(Data[[#This Row],[DataCol1]]&lt;&gt;"",SUBSTITUTE(_xlfn.TEXTJOIN(",",TRUE,Data[[#This Row],[DataCol1]:[DataCol48]]),"XXX",""),"")</f>
        <v>Data,0,workout_step,duration_reps,17,,target_value,0,,notes,"Bras gauche%breakline%%breakline%Bras de soutien pas tendu%breakline%Pas verrouiller en haut%breakline%Inspirer en descendant%breakline%Expirer en montant",,message_index,45,,exercise_category,30,,exercise_name,6,,exercise_weight,4.0,,weight_display_unit,1,,duration_type,29,,target_type,2,,intensity,0,,,,</v>
      </c>
    </row>
    <row r="52" spans="1:56" x14ac:dyDescent="0.25">
      <c r="A52" s="27">
        <v>47</v>
      </c>
      <c r="B52" s="42" t="s">
        <v>65</v>
      </c>
      <c r="C52" s="35"/>
      <c r="D52" s="27" t="s">
        <v>61</v>
      </c>
      <c r="E52" s="27">
        <v>60</v>
      </c>
      <c r="H52" s="27" t="str">
        <f t="shared" si="0"/>
        <v>Data</v>
      </c>
      <c r="I52" s="27">
        <f>0</f>
        <v>0</v>
      </c>
      <c r="J52" s="27" t="str">
        <f t="shared" si="1"/>
        <v>workout_step</v>
      </c>
      <c r="N52" s="36" t="str">
        <f>IF(VLOOKUP(Data[[#This Row],[Duration Type]],Table_Duration_Type[],3,FALSE)="/","",VLOOKUP(Data[[#This Row],[Duration Type]],Table_Duration_Type[],3,FALSE))</f>
        <v>duration_time</v>
      </c>
      <c r="O52" s="36" t="str">
        <f>IF(N52&lt;&gt;"",IF(N52='Reference Lists'!$C$2,SUBSTITUTE(TEXT(Data[[#This Row],[Duration Value]],"0,0"),",","."),Data[[#This Row],[Duration Value]]),"")</f>
        <v>60.0</v>
      </c>
      <c r="P52" s="36" t="str">
        <f t="shared" si="34"/>
        <v>XXX</v>
      </c>
      <c r="Q52" s="36" t="s">
        <v>42</v>
      </c>
      <c r="R52" s="36">
        <f>0</f>
        <v>0</v>
      </c>
      <c r="S52" s="36" t="str">
        <f t="shared" si="35"/>
        <v>XXX</v>
      </c>
      <c r="Z52" s="36" t="str">
        <f t="shared" si="36"/>
        <v/>
      </c>
      <c r="AA52" s="36" t="str">
        <f>IF(Data[[#This Row],[Notes]]="","",_xlfn.CONCAT("""",SUBSTITUTE(Data[[#This Row],[Notes]],CHAR(10),"%breakline%"),""""))</f>
        <v/>
      </c>
      <c r="AB52" s="36" t="str">
        <f t="shared" si="37"/>
        <v/>
      </c>
      <c r="AC52" s="27" t="s">
        <v>37</v>
      </c>
      <c r="AD52" s="36">
        <f>Data[[#This Row],[Step n°]]-1</f>
        <v>46</v>
      </c>
      <c r="AE52" s="36" t="str">
        <f t="shared" si="38"/>
        <v>XXX</v>
      </c>
      <c r="AF52" s="36" t="str">
        <f t="shared" si="39"/>
        <v/>
      </c>
      <c r="AG52" s="36" t="str">
        <f>IF(_xlfn.IFNA(VLOOKUP(Data[[#This Row],[Exercise]],Table_Exercises[],2,FALSE),"")="","",_xlfn.IFNA(VLOOKUP(Data[[#This Row],[Exercise]],Table_Exercises[],2,FALSE),""))</f>
        <v/>
      </c>
      <c r="AH52" s="36" t="str">
        <f t="shared" si="40"/>
        <v/>
      </c>
      <c r="AI52" s="37" t="str">
        <f t="shared" si="41"/>
        <v/>
      </c>
      <c r="AJ52" s="36" t="str">
        <f>_xlfn.IFNA(IF(VLOOKUP(Data[[#This Row],[Exercise]],Table_Exercises[],3,FALSE)="/","",VLOOKUP(Data[[#This Row],[Exercise]],Table_Exercises[],3,FALSE)),"")</f>
        <v/>
      </c>
      <c r="AK52" s="36" t="str">
        <f t="shared" si="42"/>
        <v/>
      </c>
      <c r="AL52" s="27" t="str">
        <f>IF(OR(Data[[#This Row],[Weight]]="",Data[[#This Row],[Weight]]=0),"","exercise_weight")</f>
        <v/>
      </c>
      <c r="AM52" s="38" t="str">
        <f>IF(OR(Data[[#This Row],[Weight]]="",Data[[#This Row],[Weight]]=0),"",SUBSTITUTE(TEXT(Data[[#This Row],[Weight]],"0,0"),",","."))</f>
        <v/>
      </c>
      <c r="AN52" s="36" t="str">
        <f t="shared" si="43"/>
        <v/>
      </c>
      <c r="AO52" s="27" t="str">
        <f t="shared" si="44"/>
        <v/>
      </c>
      <c r="AP52" s="38" t="str">
        <f t="shared" si="45"/>
        <v/>
      </c>
      <c r="AQ52" s="36" t="str">
        <f t="shared" si="46"/>
        <v/>
      </c>
      <c r="AR52" s="27" t="s">
        <v>39</v>
      </c>
      <c r="AS52" s="36">
        <f>VLOOKUP(Data[[#This Row],[Duration Type]],Table_Duration_Type[],2,FALSE)</f>
        <v>0</v>
      </c>
      <c r="AT52" s="36" t="str">
        <f t="shared" si="47"/>
        <v>XXX</v>
      </c>
      <c r="AU52" s="27" t="s">
        <v>41</v>
      </c>
      <c r="AV52" s="36">
        <f>2</f>
        <v>2</v>
      </c>
      <c r="AW52" s="36" t="str">
        <f t="shared" si="48"/>
        <v>XXX</v>
      </c>
      <c r="AX52" s="27" t="s">
        <v>43</v>
      </c>
      <c r="AY52" s="36">
        <f>VLOOKUP(Data[[#This Row],[Set Type]],Table_Intensity[],2,FALSE)</f>
        <v>1</v>
      </c>
      <c r="AZ52" s="36" t="str">
        <f t="shared" si="49"/>
        <v>XXX</v>
      </c>
      <c r="BA52" s="27" t="s">
        <v>152</v>
      </c>
      <c r="BB52" s="27" t="s">
        <v>152</v>
      </c>
      <c r="BC52" s="27" t="s">
        <v>152</v>
      </c>
      <c r="BD52" s="28" t="str">
        <f>IF(Data[[#This Row],[DataCol1]]&lt;&gt;"",SUBSTITUTE(_xlfn.TEXTJOIN(",",TRUE,Data[[#This Row],[DataCol1]:[DataCol48]]),"XXX",""),"")</f>
        <v>Data,0,workout_step,duration_time,60.0,,target_value,0,,message_index,46,,duration_type,0,,target_type,2,,intensity,1,,,,</v>
      </c>
    </row>
    <row r="53" spans="1:56" ht="75" x14ac:dyDescent="0.25">
      <c r="A53" s="27">
        <v>48</v>
      </c>
      <c r="B53" s="42" t="s">
        <v>64</v>
      </c>
      <c r="C53" s="35" t="s">
        <v>248</v>
      </c>
      <c r="D53" s="27" t="s">
        <v>62</v>
      </c>
      <c r="E53" s="27">
        <v>11</v>
      </c>
      <c r="F53" s="27">
        <v>0</v>
      </c>
      <c r="G53" s="39" t="s">
        <v>256</v>
      </c>
      <c r="H53" s="27" t="str">
        <f t="shared" si="0"/>
        <v>Data</v>
      </c>
      <c r="I53" s="27">
        <f>0</f>
        <v>0</v>
      </c>
      <c r="J53" s="27" t="str">
        <f t="shared" si="1"/>
        <v>workout_step</v>
      </c>
      <c r="N53" s="36" t="str">
        <f>IF(VLOOKUP(Data[[#This Row],[Duration Type]],Table_Duration_Type[],3,FALSE)="/","",VLOOKUP(Data[[#This Row],[Duration Type]],Table_Duration_Type[],3,FALSE))</f>
        <v>duration_reps</v>
      </c>
      <c r="O53" s="36">
        <f>IF(N53&lt;&gt;"",IF(N53='Reference Lists'!$C$2,SUBSTITUTE(TEXT(Data[[#This Row],[Duration Value]],"0,0"),",","."),Data[[#This Row],[Duration Value]]),"")</f>
        <v>11</v>
      </c>
      <c r="P53" s="36" t="str">
        <f t="shared" si="34"/>
        <v>XXX</v>
      </c>
      <c r="Q53" s="36" t="s">
        <v>42</v>
      </c>
      <c r="R53" s="36">
        <f>0</f>
        <v>0</v>
      </c>
      <c r="S53" s="36" t="str">
        <f t="shared" si="35"/>
        <v>XXX</v>
      </c>
      <c r="Z53" s="36" t="str">
        <f t="shared" si="36"/>
        <v>notes</v>
      </c>
      <c r="AA53" s="36" t="str">
        <f>IF(Data[[#This Row],[Notes]]="","",_xlfn.CONCAT("""",SUBSTITUTE(Data[[#This Row],[Notes]],CHAR(10),"%breakline%"),""""))</f>
        <v>"Pieds 11h55%breakline%Genoux alignés avec pieds%breakline%Inspirer en descendant%breakline%Retenir respiration%breakline%Expirer en fin de montée"</v>
      </c>
      <c r="AB53" s="36" t="str">
        <f t="shared" si="37"/>
        <v>XXX</v>
      </c>
      <c r="AC53" s="27" t="s">
        <v>37</v>
      </c>
      <c r="AD53" s="36">
        <f>Data[[#This Row],[Step n°]]-1</f>
        <v>47</v>
      </c>
      <c r="AE53" s="36" t="str">
        <f t="shared" si="38"/>
        <v>XXX</v>
      </c>
      <c r="AF53" s="36" t="str">
        <f t="shared" si="39"/>
        <v>exercise_category</v>
      </c>
      <c r="AG53" s="36">
        <f>IF(_xlfn.IFNA(VLOOKUP(Data[[#This Row],[Exercise]],Table_Exercises[],2,FALSE),"")="","",_xlfn.IFNA(VLOOKUP(Data[[#This Row],[Exercise]],Table_Exercises[],2,FALSE),""))</f>
        <v>28</v>
      </c>
      <c r="AH53" s="36" t="str">
        <f t="shared" si="40"/>
        <v>XXX</v>
      </c>
      <c r="AI53" s="37" t="str">
        <f t="shared" si="41"/>
        <v>exercise_name</v>
      </c>
      <c r="AJ53" s="36">
        <f>_xlfn.IFNA(IF(VLOOKUP(Data[[#This Row],[Exercise]],Table_Exercises[],3,FALSE)="/","",VLOOKUP(Data[[#This Row],[Exercise]],Table_Exercises[],3,FALSE)),"")</f>
        <v>37</v>
      </c>
      <c r="AK53" s="36" t="str">
        <f t="shared" si="42"/>
        <v>XXX</v>
      </c>
      <c r="AL53" s="27" t="str">
        <f>IF(OR(Data[[#This Row],[Weight]]="",Data[[#This Row],[Weight]]=0),"","exercise_weight")</f>
        <v/>
      </c>
      <c r="AM53" s="38" t="str">
        <f>IF(OR(Data[[#This Row],[Weight]]="",Data[[#This Row],[Weight]]=0),"",SUBSTITUTE(TEXT(Data[[#This Row],[Weight]],"0,0"),",","."))</f>
        <v/>
      </c>
      <c r="AN53" s="36" t="str">
        <f t="shared" si="43"/>
        <v/>
      </c>
      <c r="AO53" s="27" t="str">
        <f t="shared" si="44"/>
        <v/>
      </c>
      <c r="AP53" s="38" t="str">
        <f t="shared" si="45"/>
        <v/>
      </c>
      <c r="AQ53" s="36" t="str">
        <f t="shared" si="46"/>
        <v/>
      </c>
      <c r="AR53" s="27" t="s">
        <v>39</v>
      </c>
      <c r="AS53" s="36">
        <f>VLOOKUP(Data[[#This Row],[Duration Type]],Table_Duration_Type[],2,FALSE)</f>
        <v>29</v>
      </c>
      <c r="AT53" s="36" t="str">
        <f t="shared" si="47"/>
        <v>XXX</v>
      </c>
      <c r="AU53" s="27" t="s">
        <v>41</v>
      </c>
      <c r="AV53" s="36">
        <f>2</f>
        <v>2</v>
      </c>
      <c r="AW53" s="36" t="str">
        <f t="shared" si="48"/>
        <v>XXX</v>
      </c>
      <c r="AX53" s="27" t="s">
        <v>43</v>
      </c>
      <c r="AY53" s="36">
        <f>VLOOKUP(Data[[#This Row],[Set Type]],Table_Intensity[],2,FALSE)</f>
        <v>0</v>
      </c>
      <c r="AZ53" s="36" t="str">
        <f t="shared" si="49"/>
        <v>XXX</v>
      </c>
      <c r="BA53" s="27" t="s">
        <v>152</v>
      </c>
      <c r="BB53" s="27" t="s">
        <v>152</v>
      </c>
      <c r="BC53" s="27" t="s">
        <v>152</v>
      </c>
      <c r="BD53" s="28" t="str">
        <f>IF(Data[[#This Row],[DataCol1]]&lt;&gt;"",SUBSTITUTE(_xlfn.TEXTJOIN(",",TRUE,Data[[#This Row],[DataCol1]:[DataCol48]]),"XXX",""),"")</f>
        <v>Data,0,workout_step,duration_reps,11,,target_value,0,,notes,"Pieds 11h55%breakline%Genoux alignés avec pieds%breakline%Inspirer en descendant%breakline%Retenir respiration%breakline%Expirer en fin de montée",,message_index,47,,exercise_category,28,,exercise_name,37,,duration_type,29,,target_type,2,,intensity,0,,,,</v>
      </c>
    </row>
    <row r="54" spans="1:56" x14ac:dyDescent="0.25">
      <c r="A54" s="27">
        <v>49</v>
      </c>
      <c r="B54" s="42" t="s">
        <v>65</v>
      </c>
      <c r="C54" s="35"/>
      <c r="D54" s="27" t="s">
        <v>61</v>
      </c>
      <c r="E54" s="27">
        <v>90</v>
      </c>
      <c r="H54" s="27" t="str">
        <f t="shared" si="0"/>
        <v>Data</v>
      </c>
      <c r="I54" s="27">
        <f>0</f>
        <v>0</v>
      </c>
      <c r="J54" s="27" t="str">
        <f t="shared" si="1"/>
        <v>workout_step</v>
      </c>
      <c r="N54" s="36" t="str">
        <f>IF(VLOOKUP(Data[[#This Row],[Duration Type]],Table_Duration_Type[],3,FALSE)="/","",VLOOKUP(Data[[#This Row],[Duration Type]],Table_Duration_Type[],3,FALSE))</f>
        <v>duration_time</v>
      </c>
      <c r="O54" s="36" t="str">
        <f>IF(N54&lt;&gt;"",IF(N54='Reference Lists'!$C$2,SUBSTITUTE(TEXT(Data[[#This Row],[Duration Value]],"0,0"),",","."),Data[[#This Row],[Duration Value]]),"")</f>
        <v>90.0</v>
      </c>
      <c r="P54" s="36" t="str">
        <f t="shared" si="34"/>
        <v>XXX</v>
      </c>
      <c r="Q54" s="36" t="s">
        <v>42</v>
      </c>
      <c r="R54" s="36">
        <f>0</f>
        <v>0</v>
      </c>
      <c r="S54" s="36" t="str">
        <f t="shared" si="35"/>
        <v>XXX</v>
      </c>
      <c r="Z54" s="36" t="str">
        <f t="shared" si="36"/>
        <v/>
      </c>
      <c r="AA54" s="36" t="str">
        <f>IF(Data[[#This Row],[Notes]]="","",_xlfn.CONCAT("""",SUBSTITUTE(Data[[#This Row],[Notes]],CHAR(10),"%breakline%"),""""))</f>
        <v/>
      </c>
      <c r="AB54" s="36" t="str">
        <f t="shared" si="37"/>
        <v/>
      </c>
      <c r="AC54" s="27" t="s">
        <v>37</v>
      </c>
      <c r="AD54" s="36">
        <f>Data[[#This Row],[Step n°]]-1</f>
        <v>48</v>
      </c>
      <c r="AE54" s="36" t="str">
        <f t="shared" si="38"/>
        <v>XXX</v>
      </c>
      <c r="AF54" s="36" t="str">
        <f t="shared" si="39"/>
        <v/>
      </c>
      <c r="AG54" s="36" t="str">
        <f>IF(_xlfn.IFNA(VLOOKUP(Data[[#This Row],[Exercise]],Table_Exercises[],2,FALSE),"")="","",_xlfn.IFNA(VLOOKUP(Data[[#This Row],[Exercise]],Table_Exercises[],2,FALSE),""))</f>
        <v/>
      </c>
      <c r="AH54" s="36" t="str">
        <f t="shared" si="40"/>
        <v/>
      </c>
      <c r="AI54" s="37" t="str">
        <f t="shared" si="41"/>
        <v/>
      </c>
      <c r="AJ54" s="36" t="str">
        <f>_xlfn.IFNA(IF(VLOOKUP(Data[[#This Row],[Exercise]],Table_Exercises[],3,FALSE)="/","",VLOOKUP(Data[[#This Row],[Exercise]],Table_Exercises[],3,FALSE)),"")</f>
        <v/>
      </c>
      <c r="AK54" s="36" t="str">
        <f t="shared" si="42"/>
        <v/>
      </c>
      <c r="AL54" s="27" t="str">
        <f>IF(OR(Data[[#This Row],[Weight]]="",Data[[#This Row],[Weight]]=0),"","exercise_weight")</f>
        <v/>
      </c>
      <c r="AM54" s="38" t="str">
        <f>IF(OR(Data[[#This Row],[Weight]]="",Data[[#This Row],[Weight]]=0),"",SUBSTITUTE(TEXT(Data[[#This Row],[Weight]],"0,0"),",","."))</f>
        <v/>
      </c>
      <c r="AN54" s="36" t="str">
        <f t="shared" si="43"/>
        <v/>
      </c>
      <c r="AO54" s="27" t="str">
        <f t="shared" si="44"/>
        <v/>
      </c>
      <c r="AP54" s="38" t="str">
        <f t="shared" si="45"/>
        <v/>
      </c>
      <c r="AQ54" s="36" t="str">
        <f t="shared" si="46"/>
        <v/>
      </c>
      <c r="AR54" s="27" t="s">
        <v>39</v>
      </c>
      <c r="AS54" s="36">
        <f>VLOOKUP(Data[[#This Row],[Duration Type]],Table_Duration_Type[],2,FALSE)</f>
        <v>0</v>
      </c>
      <c r="AT54" s="36" t="str">
        <f t="shared" si="47"/>
        <v>XXX</v>
      </c>
      <c r="AU54" s="27" t="s">
        <v>41</v>
      </c>
      <c r="AV54" s="36">
        <f>2</f>
        <v>2</v>
      </c>
      <c r="AW54" s="36" t="str">
        <f t="shared" si="48"/>
        <v>XXX</v>
      </c>
      <c r="AX54" s="27" t="s">
        <v>43</v>
      </c>
      <c r="AY54" s="36">
        <f>VLOOKUP(Data[[#This Row],[Set Type]],Table_Intensity[],2,FALSE)</f>
        <v>1</v>
      </c>
      <c r="AZ54" s="36" t="str">
        <f t="shared" si="49"/>
        <v>XXX</v>
      </c>
      <c r="BA54" s="27" t="s">
        <v>152</v>
      </c>
      <c r="BB54" s="27" t="s">
        <v>152</v>
      </c>
      <c r="BC54" s="27" t="s">
        <v>152</v>
      </c>
      <c r="BD54" s="28" t="str">
        <f>IF(Data[[#This Row],[DataCol1]]&lt;&gt;"",SUBSTITUTE(_xlfn.TEXTJOIN(",",TRUE,Data[[#This Row],[DataCol1]:[DataCol48]]),"XXX",""),"")</f>
        <v>Data,0,workout_step,duration_time,90.0,,target_value,0,,message_index,48,,duration_type,0,,target_type,2,,intensity,1,,,,</v>
      </c>
    </row>
    <row r="55" spans="1:56" ht="75" x14ac:dyDescent="0.25">
      <c r="A55" s="27">
        <v>50</v>
      </c>
      <c r="B55" s="42" t="s">
        <v>64</v>
      </c>
      <c r="C55" s="35" t="s">
        <v>248</v>
      </c>
      <c r="D55" s="27" t="s">
        <v>62</v>
      </c>
      <c r="E55" s="27">
        <v>11</v>
      </c>
      <c r="F55" s="27">
        <v>0</v>
      </c>
      <c r="G55" s="39" t="s">
        <v>256</v>
      </c>
      <c r="H55" s="27" t="str">
        <f t="shared" si="0"/>
        <v>Data</v>
      </c>
      <c r="I55" s="27">
        <f>0</f>
        <v>0</v>
      </c>
      <c r="J55" s="27" t="str">
        <f t="shared" si="1"/>
        <v>workout_step</v>
      </c>
      <c r="N55" s="36" t="str">
        <f>IF(VLOOKUP(Data[[#This Row],[Duration Type]],Table_Duration_Type[],3,FALSE)="/","",VLOOKUP(Data[[#This Row],[Duration Type]],Table_Duration_Type[],3,FALSE))</f>
        <v>duration_reps</v>
      </c>
      <c r="O55" s="36">
        <f>IF(N55&lt;&gt;"",IF(N55='Reference Lists'!$C$2,SUBSTITUTE(TEXT(Data[[#This Row],[Duration Value]],"0,0"),",","."),Data[[#This Row],[Duration Value]]),"")</f>
        <v>11</v>
      </c>
      <c r="P55" s="36" t="str">
        <f t="shared" si="34"/>
        <v>XXX</v>
      </c>
      <c r="Q55" s="36" t="s">
        <v>42</v>
      </c>
      <c r="R55" s="36">
        <f>0</f>
        <v>0</v>
      </c>
      <c r="S55" s="36" t="str">
        <f t="shared" si="35"/>
        <v>XXX</v>
      </c>
      <c r="Z55" s="36" t="str">
        <f t="shared" si="36"/>
        <v>notes</v>
      </c>
      <c r="AA55" s="36" t="str">
        <f>IF(Data[[#This Row],[Notes]]="","",_xlfn.CONCAT("""",SUBSTITUTE(Data[[#This Row],[Notes]],CHAR(10),"%breakline%"),""""))</f>
        <v>"Pieds 11h55%breakline%Genoux alignés avec pieds%breakline%Inspirer en descendant%breakline%Retenir respiration%breakline%Expirer en fin de montée"</v>
      </c>
      <c r="AB55" s="36" t="str">
        <f t="shared" si="37"/>
        <v>XXX</v>
      </c>
      <c r="AC55" s="27" t="s">
        <v>37</v>
      </c>
      <c r="AD55" s="36">
        <f>Data[[#This Row],[Step n°]]-1</f>
        <v>49</v>
      </c>
      <c r="AE55" s="36" t="str">
        <f t="shared" si="38"/>
        <v>XXX</v>
      </c>
      <c r="AF55" s="36" t="str">
        <f t="shared" si="39"/>
        <v>exercise_category</v>
      </c>
      <c r="AG55" s="36">
        <f>IF(_xlfn.IFNA(VLOOKUP(Data[[#This Row],[Exercise]],Table_Exercises[],2,FALSE),"")="","",_xlfn.IFNA(VLOOKUP(Data[[#This Row],[Exercise]],Table_Exercises[],2,FALSE),""))</f>
        <v>28</v>
      </c>
      <c r="AH55" s="36" t="str">
        <f t="shared" si="40"/>
        <v>XXX</v>
      </c>
      <c r="AI55" s="37" t="str">
        <f t="shared" si="41"/>
        <v>exercise_name</v>
      </c>
      <c r="AJ55" s="36">
        <f>_xlfn.IFNA(IF(VLOOKUP(Data[[#This Row],[Exercise]],Table_Exercises[],3,FALSE)="/","",VLOOKUP(Data[[#This Row],[Exercise]],Table_Exercises[],3,FALSE)),"")</f>
        <v>37</v>
      </c>
      <c r="AK55" s="36" t="str">
        <f t="shared" si="42"/>
        <v>XXX</v>
      </c>
      <c r="AL55" s="27" t="str">
        <f>IF(OR(Data[[#This Row],[Weight]]="",Data[[#This Row],[Weight]]=0),"","exercise_weight")</f>
        <v/>
      </c>
      <c r="AM55" s="38" t="str">
        <f>IF(OR(Data[[#This Row],[Weight]]="",Data[[#This Row],[Weight]]=0),"",SUBSTITUTE(TEXT(Data[[#This Row],[Weight]],"0,0"),",","."))</f>
        <v/>
      </c>
      <c r="AN55" s="36" t="str">
        <f t="shared" si="43"/>
        <v/>
      </c>
      <c r="AO55" s="27" t="str">
        <f t="shared" si="44"/>
        <v/>
      </c>
      <c r="AP55" s="38" t="str">
        <f t="shared" si="45"/>
        <v/>
      </c>
      <c r="AQ55" s="36" t="str">
        <f t="shared" si="46"/>
        <v/>
      </c>
      <c r="AR55" s="27" t="s">
        <v>39</v>
      </c>
      <c r="AS55" s="36">
        <f>VLOOKUP(Data[[#This Row],[Duration Type]],Table_Duration_Type[],2,FALSE)</f>
        <v>29</v>
      </c>
      <c r="AT55" s="36" t="str">
        <f t="shared" si="47"/>
        <v>XXX</v>
      </c>
      <c r="AU55" s="27" t="s">
        <v>41</v>
      </c>
      <c r="AV55" s="36">
        <f>2</f>
        <v>2</v>
      </c>
      <c r="AW55" s="36" t="str">
        <f t="shared" si="48"/>
        <v>XXX</v>
      </c>
      <c r="AX55" s="27" t="s">
        <v>43</v>
      </c>
      <c r="AY55" s="36">
        <f>VLOOKUP(Data[[#This Row],[Set Type]],Table_Intensity[],2,FALSE)</f>
        <v>0</v>
      </c>
      <c r="AZ55" s="36" t="str">
        <f t="shared" si="49"/>
        <v>XXX</v>
      </c>
      <c r="BA55" s="27" t="s">
        <v>152</v>
      </c>
      <c r="BB55" s="27" t="s">
        <v>152</v>
      </c>
      <c r="BC55" s="27" t="s">
        <v>152</v>
      </c>
      <c r="BD55" s="28" t="str">
        <f>IF(Data[[#This Row],[DataCol1]]&lt;&gt;"",SUBSTITUTE(_xlfn.TEXTJOIN(",",TRUE,Data[[#This Row],[DataCol1]:[DataCol48]]),"XXX",""),"")</f>
        <v>Data,0,workout_step,duration_reps,11,,target_value,0,,notes,"Pieds 11h55%breakline%Genoux alignés avec pieds%breakline%Inspirer en descendant%breakline%Retenir respiration%breakline%Expirer en fin de montée",,message_index,49,,exercise_category,28,,exercise_name,37,,duration_type,29,,target_type,2,,intensity,0,,,,</v>
      </c>
    </row>
    <row r="56" spans="1:56" x14ac:dyDescent="0.25">
      <c r="A56" s="27">
        <v>51</v>
      </c>
      <c r="B56" s="42" t="s">
        <v>65</v>
      </c>
      <c r="C56" s="35"/>
      <c r="D56" s="27" t="s">
        <v>61</v>
      </c>
      <c r="E56" s="27">
        <v>90</v>
      </c>
      <c r="H56" s="27" t="str">
        <f t="shared" si="0"/>
        <v>Data</v>
      </c>
      <c r="I56" s="27">
        <f>0</f>
        <v>0</v>
      </c>
      <c r="J56" s="27" t="str">
        <f t="shared" si="1"/>
        <v>workout_step</v>
      </c>
      <c r="N56" s="36" t="str">
        <f>IF(VLOOKUP(Data[[#This Row],[Duration Type]],Table_Duration_Type[],3,FALSE)="/","",VLOOKUP(Data[[#This Row],[Duration Type]],Table_Duration_Type[],3,FALSE))</f>
        <v>duration_time</v>
      </c>
      <c r="O56" s="36" t="str">
        <f>IF(N56&lt;&gt;"",IF(N56='Reference Lists'!$C$2,SUBSTITUTE(TEXT(Data[[#This Row],[Duration Value]],"0,0"),",","."),Data[[#This Row],[Duration Value]]),"")</f>
        <v>90.0</v>
      </c>
      <c r="P56" s="36" t="str">
        <f t="shared" si="34"/>
        <v>XXX</v>
      </c>
      <c r="Q56" s="36" t="s">
        <v>42</v>
      </c>
      <c r="R56" s="36">
        <f>0</f>
        <v>0</v>
      </c>
      <c r="S56" s="36" t="str">
        <f t="shared" si="35"/>
        <v>XXX</v>
      </c>
      <c r="Z56" s="36" t="str">
        <f t="shared" si="36"/>
        <v/>
      </c>
      <c r="AA56" s="36" t="str">
        <f>IF(Data[[#This Row],[Notes]]="","",_xlfn.CONCAT("""",SUBSTITUTE(Data[[#This Row],[Notes]],CHAR(10),"%breakline%"),""""))</f>
        <v/>
      </c>
      <c r="AB56" s="36" t="str">
        <f t="shared" si="37"/>
        <v/>
      </c>
      <c r="AC56" s="27" t="s">
        <v>37</v>
      </c>
      <c r="AD56" s="36">
        <f>Data[[#This Row],[Step n°]]-1</f>
        <v>50</v>
      </c>
      <c r="AE56" s="36" t="str">
        <f t="shared" si="38"/>
        <v>XXX</v>
      </c>
      <c r="AF56" s="36" t="str">
        <f t="shared" si="39"/>
        <v/>
      </c>
      <c r="AG56" s="36" t="str">
        <f>IF(_xlfn.IFNA(VLOOKUP(Data[[#This Row],[Exercise]],Table_Exercises[],2,FALSE),"")="","",_xlfn.IFNA(VLOOKUP(Data[[#This Row],[Exercise]],Table_Exercises[],2,FALSE),""))</f>
        <v/>
      </c>
      <c r="AH56" s="36" t="str">
        <f t="shared" si="40"/>
        <v/>
      </c>
      <c r="AI56" s="37" t="str">
        <f t="shared" si="41"/>
        <v/>
      </c>
      <c r="AJ56" s="36" t="str">
        <f>_xlfn.IFNA(IF(VLOOKUP(Data[[#This Row],[Exercise]],Table_Exercises[],3,FALSE)="/","",VLOOKUP(Data[[#This Row],[Exercise]],Table_Exercises[],3,FALSE)),"")</f>
        <v/>
      </c>
      <c r="AK56" s="36" t="str">
        <f t="shared" si="42"/>
        <v/>
      </c>
      <c r="AL56" s="27" t="str">
        <f>IF(OR(Data[[#This Row],[Weight]]="",Data[[#This Row],[Weight]]=0),"","exercise_weight")</f>
        <v/>
      </c>
      <c r="AM56" s="38" t="str">
        <f>IF(OR(Data[[#This Row],[Weight]]="",Data[[#This Row],[Weight]]=0),"",SUBSTITUTE(TEXT(Data[[#This Row],[Weight]],"0,0"),",","."))</f>
        <v/>
      </c>
      <c r="AN56" s="36" t="str">
        <f t="shared" si="43"/>
        <v/>
      </c>
      <c r="AO56" s="27" t="str">
        <f t="shared" si="44"/>
        <v/>
      </c>
      <c r="AP56" s="38" t="str">
        <f t="shared" si="45"/>
        <v/>
      </c>
      <c r="AQ56" s="36" t="str">
        <f t="shared" si="46"/>
        <v/>
      </c>
      <c r="AR56" s="27" t="s">
        <v>39</v>
      </c>
      <c r="AS56" s="36">
        <f>VLOOKUP(Data[[#This Row],[Duration Type]],Table_Duration_Type[],2,FALSE)</f>
        <v>0</v>
      </c>
      <c r="AT56" s="36" t="str">
        <f t="shared" si="47"/>
        <v>XXX</v>
      </c>
      <c r="AU56" s="27" t="s">
        <v>41</v>
      </c>
      <c r="AV56" s="36">
        <f>2</f>
        <v>2</v>
      </c>
      <c r="AW56" s="36" t="str">
        <f t="shared" si="48"/>
        <v>XXX</v>
      </c>
      <c r="AX56" s="27" t="s">
        <v>43</v>
      </c>
      <c r="AY56" s="36">
        <f>VLOOKUP(Data[[#This Row],[Set Type]],Table_Intensity[],2,FALSE)</f>
        <v>1</v>
      </c>
      <c r="AZ56" s="36" t="str">
        <f t="shared" si="49"/>
        <v>XXX</v>
      </c>
      <c r="BA56" s="27" t="s">
        <v>152</v>
      </c>
      <c r="BB56" s="27" t="s">
        <v>152</v>
      </c>
      <c r="BC56" s="27" t="s">
        <v>152</v>
      </c>
      <c r="BD56" s="28" t="str">
        <f>IF(Data[[#This Row],[DataCol1]]&lt;&gt;"",SUBSTITUTE(_xlfn.TEXTJOIN(",",TRUE,Data[[#This Row],[DataCol1]:[DataCol48]]),"XXX",""),"")</f>
        <v>Data,0,workout_step,duration_time,90.0,,target_value,0,,message_index,50,,duration_type,0,,target_type,2,,intensity,1,,,,</v>
      </c>
    </row>
    <row r="57" spans="1:56" ht="75" x14ac:dyDescent="0.25">
      <c r="A57" s="27">
        <v>52</v>
      </c>
      <c r="B57" s="42" t="s">
        <v>64</v>
      </c>
      <c r="C57" s="35" t="s">
        <v>248</v>
      </c>
      <c r="D57" s="27" t="s">
        <v>62</v>
      </c>
      <c r="E57" s="27">
        <v>10</v>
      </c>
      <c r="F57" s="27">
        <v>0</v>
      </c>
      <c r="G57" s="39" t="s">
        <v>256</v>
      </c>
      <c r="H57" s="27" t="str">
        <f t="shared" si="0"/>
        <v>Data</v>
      </c>
      <c r="I57" s="27">
        <f>0</f>
        <v>0</v>
      </c>
      <c r="J57" s="27" t="str">
        <f t="shared" si="1"/>
        <v>workout_step</v>
      </c>
      <c r="N57" s="36" t="str">
        <f>IF(VLOOKUP(Data[[#This Row],[Duration Type]],Table_Duration_Type[],3,FALSE)="/","",VLOOKUP(Data[[#This Row],[Duration Type]],Table_Duration_Type[],3,FALSE))</f>
        <v>duration_reps</v>
      </c>
      <c r="O57" s="36">
        <f>IF(N57&lt;&gt;"",IF(N57='Reference Lists'!$C$2,SUBSTITUTE(TEXT(Data[[#This Row],[Duration Value]],"0,0"),",","."),Data[[#This Row],[Duration Value]]),"")</f>
        <v>10</v>
      </c>
      <c r="P57" s="36" t="str">
        <f t="shared" si="34"/>
        <v>XXX</v>
      </c>
      <c r="Q57" s="36" t="s">
        <v>42</v>
      </c>
      <c r="R57" s="36">
        <f>0</f>
        <v>0</v>
      </c>
      <c r="S57" s="36" t="str">
        <f t="shared" si="35"/>
        <v>XXX</v>
      </c>
      <c r="Z57" s="36" t="str">
        <f t="shared" si="36"/>
        <v>notes</v>
      </c>
      <c r="AA57" s="36" t="str">
        <f>IF(Data[[#This Row],[Notes]]="","",_xlfn.CONCAT("""",SUBSTITUTE(Data[[#This Row],[Notes]],CHAR(10),"%breakline%"),""""))</f>
        <v>"Pieds 11h55%breakline%Genoux alignés avec pieds%breakline%Inspirer en descendant%breakline%Retenir respiration%breakline%Expirer en fin de montée"</v>
      </c>
      <c r="AB57" s="36" t="str">
        <f t="shared" si="37"/>
        <v>XXX</v>
      </c>
      <c r="AC57" s="27" t="s">
        <v>37</v>
      </c>
      <c r="AD57" s="36">
        <f>Data[[#This Row],[Step n°]]-1</f>
        <v>51</v>
      </c>
      <c r="AE57" s="36" t="str">
        <f t="shared" si="38"/>
        <v>XXX</v>
      </c>
      <c r="AF57" s="36" t="str">
        <f t="shared" si="39"/>
        <v>exercise_category</v>
      </c>
      <c r="AG57" s="36">
        <f>IF(_xlfn.IFNA(VLOOKUP(Data[[#This Row],[Exercise]],Table_Exercises[],2,FALSE),"")="","",_xlfn.IFNA(VLOOKUP(Data[[#This Row],[Exercise]],Table_Exercises[],2,FALSE),""))</f>
        <v>28</v>
      </c>
      <c r="AH57" s="36" t="str">
        <f t="shared" si="40"/>
        <v>XXX</v>
      </c>
      <c r="AI57" s="37" t="str">
        <f t="shared" si="41"/>
        <v>exercise_name</v>
      </c>
      <c r="AJ57" s="36">
        <f>_xlfn.IFNA(IF(VLOOKUP(Data[[#This Row],[Exercise]],Table_Exercises[],3,FALSE)="/","",VLOOKUP(Data[[#This Row],[Exercise]],Table_Exercises[],3,FALSE)),"")</f>
        <v>37</v>
      </c>
      <c r="AK57" s="36" t="str">
        <f t="shared" si="42"/>
        <v>XXX</v>
      </c>
      <c r="AL57" s="27" t="str">
        <f>IF(OR(Data[[#This Row],[Weight]]="",Data[[#This Row],[Weight]]=0),"","exercise_weight")</f>
        <v/>
      </c>
      <c r="AM57" s="38" t="str">
        <f>IF(OR(Data[[#This Row],[Weight]]="",Data[[#This Row],[Weight]]=0),"",SUBSTITUTE(TEXT(Data[[#This Row],[Weight]],"0,0"),",","."))</f>
        <v/>
      </c>
      <c r="AN57" s="36" t="str">
        <f t="shared" si="43"/>
        <v/>
      </c>
      <c r="AO57" s="27" t="str">
        <f t="shared" si="44"/>
        <v/>
      </c>
      <c r="AP57" s="38" t="str">
        <f t="shared" si="45"/>
        <v/>
      </c>
      <c r="AQ57" s="36" t="str">
        <f t="shared" si="46"/>
        <v/>
      </c>
      <c r="AR57" s="27" t="s">
        <v>39</v>
      </c>
      <c r="AS57" s="36">
        <f>VLOOKUP(Data[[#This Row],[Duration Type]],Table_Duration_Type[],2,FALSE)</f>
        <v>29</v>
      </c>
      <c r="AT57" s="36" t="str">
        <f t="shared" si="47"/>
        <v>XXX</v>
      </c>
      <c r="AU57" s="27" t="s">
        <v>41</v>
      </c>
      <c r="AV57" s="36">
        <f>2</f>
        <v>2</v>
      </c>
      <c r="AW57" s="36" t="str">
        <f t="shared" si="48"/>
        <v>XXX</v>
      </c>
      <c r="AX57" s="27" t="s">
        <v>43</v>
      </c>
      <c r="AY57" s="36">
        <f>VLOOKUP(Data[[#This Row],[Set Type]],Table_Intensity[],2,FALSE)</f>
        <v>0</v>
      </c>
      <c r="AZ57" s="36" t="str">
        <f t="shared" si="49"/>
        <v>XXX</v>
      </c>
      <c r="BA57" s="27" t="s">
        <v>152</v>
      </c>
      <c r="BB57" s="27" t="s">
        <v>152</v>
      </c>
      <c r="BC57" s="27" t="s">
        <v>152</v>
      </c>
      <c r="BD57" s="28" t="str">
        <f>IF(Data[[#This Row],[DataCol1]]&lt;&gt;"",SUBSTITUTE(_xlfn.TEXTJOIN(",",TRUE,Data[[#This Row],[DataCol1]:[DataCol48]]),"XXX",""),"")</f>
        <v>Data,0,workout_step,duration_reps,10,,target_value,0,,notes,"Pieds 11h55%breakline%Genoux alignés avec pieds%breakline%Inspirer en descendant%breakline%Retenir respiration%breakline%Expirer en fin de montée",,message_index,51,,exercise_category,28,,exercise_name,37,,duration_type,29,,target_type,2,,intensity,0,,,,</v>
      </c>
    </row>
    <row r="58" spans="1:56" x14ac:dyDescent="0.25">
      <c r="A58" s="27">
        <v>53</v>
      </c>
      <c r="B58" s="42" t="s">
        <v>65</v>
      </c>
      <c r="C58" s="35"/>
      <c r="D58" s="27" t="s">
        <v>61</v>
      </c>
      <c r="E58" s="27">
        <v>90</v>
      </c>
      <c r="H58" s="27" t="str">
        <f t="shared" si="0"/>
        <v>Data</v>
      </c>
      <c r="I58" s="27">
        <f>0</f>
        <v>0</v>
      </c>
      <c r="J58" s="27" t="str">
        <f t="shared" si="1"/>
        <v>workout_step</v>
      </c>
      <c r="N58" s="36" t="str">
        <f>IF(VLOOKUP(Data[[#This Row],[Duration Type]],Table_Duration_Type[],3,FALSE)="/","",VLOOKUP(Data[[#This Row],[Duration Type]],Table_Duration_Type[],3,FALSE))</f>
        <v>duration_time</v>
      </c>
      <c r="O58" s="36" t="str">
        <f>IF(N58&lt;&gt;"",IF(N58='Reference Lists'!$C$2,SUBSTITUTE(TEXT(Data[[#This Row],[Duration Value]],"0,0"),",","."),Data[[#This Row],[Duration Value]]),"")</f>
        <v>90.0</v>
      </c>
      <c r="P58" s="36" t="str">
        <f t="shared" si="34"/>
        <v>XXX</v>
      </c>
      <c r="Q58" s="36" t="s">
        <v>42</v>
      </c>
      <c r="R58" s="36">
        <f>0</f>
        <v>0</v>
      </c>
      <c r="S58" s="36" t="str">
        <f t="shared" si="35"/>
        <v>XXX</v>
      </c>
      <c r="Z58" s="36" t="str">
        <f t="shared" si="36"/>
        <v/>
      </c>
      <c r="AA58" s="36" t="str">
        <f>IF(Data[[#This Row],[Notes]]="","",_xlfn.CONCAT("""",SUBSTITUTE(Data[[#This Row],[Notes]],CHAR(10),"%breakline%"),""""))</f>
        <v/>
      </c>
      <c r="AB58" s="36" t="str">
        <f t="shared" si="37"/>
        <v/>
      </c>
      <c r="AC58" s="27" t="s">
        <v>37</v>
      </c>
      <c r="AD58" s="36">
        <f>Data[[#This Row],[Step n°]]-1</f>
        <v>52</v>
      </c>
      <c r="AE58" s="36" t="str">
        <f t="shared" si="38"/>
        <v>XXX</v>
      </c>
      <c r="AF58" s="36" t="str">
        <f t="shared" si="39"/>
        <v/>
      </c>
      <c r="AG58" s="36" t="str">
        <f>IF(_xlfn.IFNA(VLOOKUP(Data[[#This Row],[Exercise]],Table_Exercises[],2,FALSE),"")="","",_xlfn.IFNA(VLOOKUP(Data[[#This Row],[Exercise]],Table_Exercises[],2,FALSE),""))</f>
        <v/>
      </c>
      <c r="AH58" s="36" t="str">
        <f t="shared" si="40"/>
        <v/>
      </c>
      <c r="AI58" s="37" t="str">
        <f t="shared" si="41"/>
        <v/>
      </c>
      <c r="AJ58" s="36" t="str">
        <f>_xlfn.IFNA(IF(VLOOKUP(Data[[#This Row],[Exercise]],Table_Exercises[],3,FALSE)="/","",VLOOKUP(Data[[#This Row],[Exercise]],Table_Exercises[],3,FALSE)),"")</f>
        <v/>
      </c>
      <c r="AK58" s="36" t="str">
        <f t="shared" si="42"/>
        <v/>
      </c>
      <c r="AL58" s="27" t="str">
        <f>IF(OR(Data[[#This Row],[Weight]]="",Data[[#This Row],[Weight]]=0),"","exercise_weight")</f>
        <v/>
      </c>
      <c r="AM58" s="38" t="str">
        <f>IF(OR(Data[[#This Row],[Weight]]="",Data[[#This Row],[Weight]]=0),"",SUBSTITUTE(TEXT(Data[[#This Row],[Weight]],"0,0"),",","."))</f>
        <v/>
      </c>
      <c r="AN58" s="36" t="str">
        <f t="shared" si="43"/>
        <v/>
      </c>
      <c r="AO58" s="27" t="str">
        <f t="shared" si="44"/>
        <v/>
      </c>
      <c r="AP58" s="38" t="str">
        <f t="shared" si="45"/>
        <v/>
      </c>
      <c r="AQ58" s="36" t="str">
        <f t="shared" si="46"/>
        <v/>
      </c>
      <c r="AR58" s="27" t="s">
        <v>39</v>
      </c>
      <c r="AS58" s="36">
        <f>VLOOKUP(Data[[#This Row],[Duration Type]],Table_Duration_Type[],2,FALSE)</f>
        <v>0</v>
      </c>
      <c r="AT58" s="36" t="str">
        <f t="shared" si="47"/>
        <v>XXX</v>
      </c>
      <c r="AU58" s="27" t="s">
        <v>41</v>
      </c>
      <c r="AV58" s="36">
        <f>2</f>
        <v>2</v>
      </c>
      <c r="AW58" s="36" t="str">
        <f t="shared" si="48"/>
        <v>XXX</v>
      </c>
      <c r="AX58" s="27" t="s">
        <v>43</v>
      </c>
      <c r="AY58" s="36">
        <f>VLOOKUP(Data[[#This Row],[Set Type]],Table_Intensity[],2,FALSE)</f>
        <v>1</v>
      </c>
      <c r="AZ58" s="36" t="str">
        <f t="shared" si="49"/>
        <v>XXX</v>
      </c>
      <c r="BA58" s="27" t="s">
        <v>152</v>
      </c>
      <c r="BB58" s="27" t="s">
        <v>152</v>
      </c>
      <c r="BC58" s="27" t="s">
        <v>152</v>
      </c>
      <c r="BD58" s="28" t="str">
        <f>IF(Data[[#This Row],[DataCol1]]&lt;&gt;"",SUBSTITUTE(_xlfn.TEXTJOIN(",",TRUE,Data[[#This Row],[DataCol1]:[DataCol48]]),"XXX",""),"")</f>
        <v>Data,0,workout_step,duration_time,90.0,,target_value,0,,message_index,52,,duration_type,0,,target_type,2,,intensity,1,,,,</v>
      </c>
    </row>
    <row r="59" spans="1:56" ht="75" x14ac:dyDescent="0.25">
      <c r="A59" s="27">
        <v>54</v>
      </c>
      <c r="B59" s="42" t="s">
        <v>64</v>
      </c>
      <c r="C59" s="35" t="s">
        <v>248</v>
      </c>
      <c r="D59" s="27" t="s">
        <v>62</v>
      </c>
      <c r="E59" s="27">
        <v>12</v>
      </c>
      <c r="F59" s="27">
        <v>0</v>
      </c>
      <c r="G59" s="39" t="s">
        <v>256</v>
      </c>
      <c r="H59" s="27" t="str">
        <f t="shared" si="0"/>
        <v>Data</v>
      </c>
      <c r="I59" s="27">
        <f>0</f>
        <v>0</v>
      </c>
      <c r="J59" s="27" t="str">
        <f t="shared" si="1"/>
        <v>workout_step</v>
      </c>
      <c r="N59" s="36" t="str">
        <f>IF(VLOOKUP(Data[[#This Row],[Duration Type]],Table_Duration_Type[],3,FALSE)="/","",VLOOKUP(Data[[#This Row],[Duration Type]],Table_Duration_Type[],3,FALSE))</f>
        <v>duration_reps</v>
      </c>
      <c r="O59" s="36">
        <f>IF(N59&lt;&gt;"",IF(N59='Reference Lists'!$C$2,SUBSTITUTE(TEXT(Data[[#This Row],[Duration Value]],"0,0"),",","."),Data[[#This Row],[Duration Value]]),"")</f>
        <v>12</v>
      </c>
      <c r="P59" s="36" t="str">
        <f t="shared" si="34"/>
        <v>XXX</v>
      </c>
      <c r="Q59" s="36" t="s">
        <v>42</v>
      </c>
      <c r="R59" s="36">
        <f>0</f>
        <v>0</v>
      </c>
      <c r="S59" s="36" t="str">
        <f t="shared" si="35"/>
        <v>XXX</v>
      </c>
      <c r="Z59" s="36" t="str">
        <f t="shared" si="36"/>
        <v>notes</v>
      </c>
      <c r="AA59" s="36" t="str">
        <f>IF(Data[[#This Row],[Notes]]="","",_xlfn.CONCAT("""",SUBSTITUTE(Data[[#This Row],[Notes]],CHAR(10),"%breakline%"),""""))</f>
        <v>"Pieds 11h55%breakline%Genoux alignés avec pieds%breakline%Inspirer en descendant%breakline%Retenir respiration%breakline%Expirer en fin de montée"</v>
      </c>
      <c r="AB59" s="36" t="str">
        <f t="shared" si="37"/>
        <v>XXX</v>
      </c>
      <c r="AC59" s="27" t="s">
        <v>37</v>
      </c>
      <c r="AD59" s="36">
        <f>Data[[#This Row],[Step n°]]-1</f>
        <v>53</v>
      </c>
      <c r="AE59" s="36" t="str">
        <f t="shared" si="38"/>
        <v>XXX</v>
      </c>
      <c r="AF59" s="36" t="str">
        <f t="shared" si="39"/>
        <v>exercise_category</v>
      </c>
      <c r="AG59" s="36">
        <f>IF(_xlfn.IFNA(VLOOKUP(Data[[#This Row],[Exercise]],Table_Exercises[],2,FALSE),"")="","",_xlfn.IFNA(VLOOKUP(Data[[#This Row],[Exercise]],Table_Exercises[],2,FALSE),""))</f>
        <v>28</v>
      </c>
      <c r="AH59" s="36" t="str">
        <f t="shared" si="40"/>
        <v>XXX</v>
      </c>
      <c r="AI59" s="37" t="str">
        <f t="shared" si="41"/>
        <v>exercise_name</v>
      </c>
      <c r="AJ59" s="36">
        <f>_xlfn.IFNA(IF(VLOOKUP(Data[[#This Row],[Exercise]],Table_Exercises[],3,FALSE)="/","",VLOOKUP(Data[[#This Row],[Exercise]],Table_Exercises[],3,FALSE)),"")</f>
        <v>37</v>
      </c>
      <c r="AK59" s="36" t="str">
        <f t="shared" si="42"/>
        <v>XXX</v>
      </c>
      <c r="AL59" s="27" t="str">
        <f>IF(OR(Data[[#This Row],[Weight]]="",Data[[#This Row],[Weight]]=0),"","exercise_weight")</f>
        <v/>
      </c>
      <c r="AM59" s="38" t="str">
        <f>IF(OR(Data[[#This Row],[Weight]]="",Data[[#This Row],[Weight]]=0),"",SUBSTITUTE(TEXT(Data[[#This Row],[Weight]],"0,0"),",","."))</f>
        <v/>
      </c>
      <c r="AN59" s="36" t="str">
        <f t="shared" si="43"/>
        <v/>
      </c>
      <c r="AO59" s="27" t="str">
        <f t="shared" si="44"/>
        <v/>
      </c>
      <c r="AP59" s="38" t="str">
        <f t="shared" si="45"/>
        <v/>
      </c>
      <c r="AQ59" s="36" t="str">
        <f t="shared" si="46"/>
        <v/>
      </c>
      <c r="AR59" s="27" t="s">
        <v>39</v>
      </c>
      <c r="AS59" s="36">
        <f>VLOOKUP(Data[[#This Row],[Duration Type]],Table_Duration_Type[],2,FALSE)</f>
        <v>29</v>
      </c>
      <c r="AT59" s="36" t="str">
        <f t="shared" si="47"/>
        <v>XXX</v>
      </c>
      <c r="AU59" s="27" t="s">
        <v>41</v>
      </c>
      <c r="AV59" s="36">
        <f>2</f>
        <v>2</v>
      </c>
      <c r="AW59" s="36" t="str">
        <f t="shared" si="48"/>
        <v>XXX</v>
      </c>
      <c r="AX59" s="27" t="s">
        <v>43</v>
      </c>
      <c r="AY59" s="36">
        <f>VLOOKUP(Data[[#This Row],[Set Type]],Table_Intensity[],2,FALSE)</f>
        <v>0</v>
      </c>
      <c r="AZ59" s="36" t="str">
        <f t="shared" si="49"/>
        <v>XXX</v>
      </c>
      <c r="BA59" s="27" t="s">
        <v>152</v>
      </c>
      <c r="BB59" s="27" t="s">
        <v>152</v>
      </c>
      <c r="BC59" s="27" t="s">
        <v>152</v>
      </c>
      <c r="BD59" s="28" t="str">
        <f>IF(Data[[#This Row],[DataCol1]]&lt;&gt;"",SUBSTITUTE(_xlfn.TEXTJOIN(",",TRUE,Data[[#This Row],[DataCol1]:[DataCol48]]),"XXX",""),"")</f>
        <v>Data,0,workout_step,duration_reps,12,,target_value,0,,notes,"Pieds 11h55%breakline%Genoux alignés avec pieds%breakline%Inspirer en descendant%breakline%Retenir respiration%breakline%Expirer en fin de montée",,message_index,53,,exercise_category,28,,exercise_name,37,,duration_type,29,,target_type,2,,intensity,0,,,,</v>
      </c>
    </row>
    <row r="60" spans="1:56" x14ac:dyDescent="0.25">
      <c r="A60" s="27">
        <v>55</v>
      </c>
      <c r="B60" s="42" t="s">
        <v>65</v>
      </c>
      <c r="C60" s="35"/>
      <c r="D60" s="27" t="s">
        <v>61</v>
      </c>
      <c r="E60" s="27">
        <v>90</v>
      </c>
      <c r="H60" s="27" t="str">
        <f t="shared" si="0"/>
        <v>Data</v>
      </c>
      <c r="I60" s="27">
        <f>0</f>
        <v>0</v>
      </c>
      <c r="J60" s="27" t="str">
        <f t="shared" si="1"/>
        <v>workout_step</v>
      </c>
      <c r="N60" s="36" t="str">
        <f>IF(VLOOKUP(Data[[#This Row],[Duration Type]],Table_Duration_Type[],3,FALSE)="/","",VLOOKUP(Data[[#This Row],[Duration Type]],Table_Duration_Type[],3,FALSE))</f>
        <v>duration_time</v>
      </c>
      <c r="O60" s="36" t="str">
        <f>IF(N60&lt;&gt;"",IF(N60='Reference Lists'!$C$2,SUBSTITUTE(TEXT(Data[[#This Row],[Duration Value]],"0,0"),",","."),Data[[#This Row],[Duration Value]]),"")</f>
        <v>90.0</v>
      </c>
      <c r="P60" s="36" t="str">
        <f t="shared" si="34"/>
        <v>XXX</v>
      </c>
      <c r="Q60" s="36" t="s">
        <v>42</v>
      </c>
      <c r="R60" s="36">
        <f>0</f>
        <v>0</v>
      </c>
      <c r="S60" s="36" t="str">
        <f t="shared" si="35"/>
        <v>XXX</v>
      </c>
      <c r="Z60" s="36" t="str">
        <f t="shared" si="36"/>
        <v/>
      </c>
      <c r="AA60" s="36" t="str">
        <f>IF(Data[[#This Row],[Notes]]="","",_xlfn.CONCAT("""",SUBSTITUTE(Data[[#This Row],[Notes]],CHAR(10),"%breakline%"),""""))</f>
        <v/>
      </c>
      <c r="AB60" s="36" t="str">
        <f t="shared" si="37"/>
        <v/>
      </c>
      <c r="AC60" s="27" t="s">
        <v>37</v>
      </c>
      <c r="AD60" s="36">
        <f>Data[[#This Row],[Step n°]]-1</f>
        <v>54</v>
      </c>
      <c r="AE60" s="36" t="str">
        <f t="shared" si="38"/>
        <v>XXX</v>
      </c>
      <c r="AF60" s="36" t="str">
        <f t="shared" si="39"/>
        <v/>
      </c>
      <c r="AG60" s="36" t="str">
        <f>IF(_xlfn.IFNA(VLOOKUP(Data[[#This Row],[Exercise]],Table_Exercises[],2,FALSE),"")="","",_xlfn.IFNA(VLOOKUP(Data[[#This Row],[Exercise]],Table_Exercises[],2,FALSE),""))</f>
        <v/>
      </c>
      <c r="AH60" s="36" t="str">
        <f t="shared" si="40"/>
        <v/>
      </c>
      <c r="AI60" s="37" t="str">
        <f t="shared" si="41"/>
        <v/>
      </c>
      <c r="AJ60" s="36" t="str">
        <f>_xlfn.IFNA(IF(VLOOKUP(Data[[#This Row],[Exercise]],Table_Exercises[],3,FALSE)="/","",VLOOKUP(Data[[#This Row],[Exercise]],Table_Exercises[],3,FALSE)),"")</f>
        <v/>
      </c>
      <c r="AK60" s="36" t="str">
        <f t="shared" si="42"/>
        <v/>
      </c>
      <c r="AL60" s="27" t="str">
        <f>IF(OR(Data[[#This Row],[Weight]]="",Data[[#This Row],[Weight]]=0),"","exercise_weight")</f>
        <v/>
      </c>
      <c r="AM60" s="38" t="str">
        <f>IF(OR(Data[[#This Row],[Weight]]="",Data[[#This Row],[Weight]]=0),"",SUBSTITUTE(TEXT(Data[[#This Row],[Weight]],"0,0"),",","."))</f>
        <v/>
      </c>
      <c r="AN60" s="36" t="str">
        <f t="shared" si="43"/>
        <v/>
      </c>
      <c r="AO60" s="27" t="str">
        <f t="shared" si="44"/>
        <v/>
      </c>
      <c r="AP60" s="38" t="str">
        <f t="shared" si="45"/>
        <v/>
      </c>
      <c r="AQ60" s="36" t="str">
        <f t="shared" si="46"/>
        <v/>
      </c>
      <c r="AR60" s="27" t="s">
        <v>39</v>
      </c>
      <c r="AS60" s="36">
        <f>VLOOKUP(Data[[#This Row],[Duration Type]],Table_Duration_Type[],2,FALSE)</f>
        <v>0</v>
      </c>
      <c r="AT60" s="36" t="str">
        <f t="shared" si="47"/>
        <v>XXX</v>
      </c>
      <c r="AU60" s="27" t="s">
        <v>41</v>
      </c>
      <c r="AV60" s="36">
        <f>2</f>
        <v>2</v>
      </c>
      <c r="AW60" s="36" t="str">
        <f t="shared" si="48"/>
        <v>XXX</v>
      </c>
      <c r="AX60" s="27" t="s">
        <v>43</v>
      </c>
      <c r="AY60" s="36">
        <f>VLOOKUP(Data[[#This Row],[Set Type]],Table_Intensity[],2,FALSE)</f>
        <v>1</v>
      </c>
      <c r="AZ60" s="36" t="str">
        <f t="shared" si="49"/>
        <v>XXX</v>
      </c>
      <c r="BA60" s="27" t="s">
        <v>152</v>
      </c>
      <c r="BB60" s="27" t="s">
        <v>152</v>
      </c>
      <c r="BC60" s="27" t="s">
        <v>152</v>
      </c>
      <c r="BD60" s="28" t="str">
        <f>IF(Data[[#This Row],[DataCol1]]&lt;&gt;"",SUBSTITUTE(_xlfn.TEXTJOIN(",",TRUE,Data[[#This Row],[DataCol1]:[DataCol48]]),"XXX",""),"")</f>
        <v>Data,0,workout_step,duration_time,90.0,,target_value,0,,message_index,54,,duration_type,0,,target_type,2,,intensity,1,,,,</v>
      </c>
    </row>
    <row r="61" spans="1:56" x14ac:dyDescent="0.25">
      <c r="A61" s="27">
        <v>56</v>
      </c>
      <c r="B61" s="42" t="s">
        <v>64</v>
      </c>
      <c r="C61" s="35" t="s">
        <v>250</v>
      </c>
      <c r="D61" s="27" t="s">
        <v>61</v>
      </c>
      <c r="E61" s="27">
        <v>35</v>
      </c>
      <c r="F61" s="27">
        <v>0</v>
      </c>
      <c r="G61" s="39" t="s">
        <v>257</v>
      </c>
      <c r="H61" s="27" t="str">
        <f t="shared" si="0"/>
        <v>Data</v>
      </c>
      <c r="I61" s="27">
        <f>0</f>
        <v>0</v>
      </c>
      <c r="J61" s="27" t="str">
        <f t="shared" si="1"/>
        <v>workout_step</v>
      </c>
      <c r="N61" s="36" t="str">
        <f>IF(VLOOKUP(Data[[#This Row],[Duration Type]],Table_Duration_Type[],3,FALSE)="/","",VLOOKUP(Data[[#This Row],[Duration Type]],Table_Duration_Type[],3,FALSE))</f>
        <v>duration_time</v>
      </c>
      <c r="O61" s="36" t="str">
        <f>IF(N61&lt;&gt;"",IF(N61='Reference Lists'!$C$2,SUBSTITUTE(TEXT(Data[[#This Row],[Duration Value]],"0,0"),",","."),Data[[#This Row],[Duration Value]]),"")</f>
        <v>35.0</v>
      </c>
      <c r="P61" s="36" t="str">
        <f t="shared" si="34"/>
        <v>XXX</v>
      </c>
      <c r="Q61" s="36" t="s">
        <v>42</v>
      </c>
      <c r="R61" s="36">
        <f>0</f>
        <v>0</v>
      </c>
      <c r="S61" s="36" t="str">
        <f t="shared" si="35"/>
        <v>XXX</v>
      </c>
      <c r="Z61" s="36" t="str">
        <f t="shared" si="36"/>
        <v>notes</v>
      </c>
      <c r="AA61" s="36" t="str">
        <f>IF(Data[[#This Row],[Notes]]="","",_xlfn.CONCAT("""",SUBSTITUTE(Data[[#This Row],[Notes]],CHAR(10),"%breakline%"),""""))</f>
        <v>"Bien Droit"</v>
      </c>
      <c r="AB61" s="36" t="str">
        <f t="shared" si="37"/>
        <v>XXX</v>
      </c>
      <c r="AC61" s="27" t="s">
        <v>37</v>
      </c>
      <c r="AD61" s="36">
        <f>Data[[#This Row],[Step n°]]-1</f>
        <v>55</v>
      </c>
      <c r="AE61" s="36" t="str">
        <f t="shared" si="38"/>
        <v>XXX</v>
      </c>
      <c r="AF61" s="36" t="str">
        <f t="shared" si="39"/>
        <v>exercise_category</v>
      </c>
      <c r="AG61" s="36">
        <f>IF(_xlfn.IFNA(VLOOKUP(Data[[#This Row],[Exercise]],Table_Exercises[],2,FALSE),"")="","",_xlfn.IFNA(VLOOKUP(Data[[#This Row],[Exercise]],Table_Exercises[],2,FALSE),""))</f>
        <v>19</v>
      </c>
      <c r="AH61" s="36" t="str">
        <f t="shared" si="40"/>
        <v>XXX</v>
      </c>
      <c r="AI61" s="37" t="str">
        <f t="shared" si="41"/>
        <v/>
      </c>
      <c r="AJ61" s="36" t="str">
        <f>_xlfn.IFNA(IF(VLOOKUP(Data[[#This Row],[Exercise]],Table_Exercises[],3,FALSE)="/","",VLOOKUP(Data[[#This Row],[Exercise]],Table_Exercises[],3,FALSE)),"")</f>
        <v/>
      </c>
      <c r="AK61" s="36" t="str">
        <f t="shared" si="42"/>
        <v/>
      </c>
      <c r="AL61" s="27" t="str">
        <f>IF(OR(Data[[#This Row],[Weight]]="",Data[[#This Row],[Weight]]=0),"","exercise_weight")</f>
        <v/>
      </c>
      <c r="AM61" s="38" t="str">
        <f>IF(OR(Data[[#This Row],[Weight]]="",Data[[#This Row],[Weight]]=0),"",SUBSTITUTE(TEXT(Data[[#This Row],[Weight]],"0,0"),",","."))</f>
        <v/>
      </c>
      <c r="AN61" s="36" t="str">
        <f t="shared" si="43"/>
        <v/>
      </c>
      <c r="AO61" s="27" t="str">
        <f t="shared" si="44"/>
        <v/>
      </c>
      <c r="AP61" s="38" t="str">
        <f t="shared" si="45"/>
        <v/>
      </c>
      <c r="AQ61" s="36" t="str">
        <f t="shared" si="46"/>
        <v/>
      </c>
      <c r="AR61" s="27" t="s">
        <v>39</v>
      </c>
      <c r="AS61" s="36">
        <f>VLOOKUP(Data[[#This Row],[Duration Type]],Table_Duration_Type[],2,FALSE)</f>
        <v>0</v>
      </c>
      <c r="AT61" s="36" t="str">
        <f t="shared" si="47"/>
        <v>XXX</v>
      </c>
      <c r="AU61" s="27" t="s">
        <v>41</v>
      </c>
      <c r="AV61" s="36">
        <f>2</f>
        <v>2</v>
      </c>
      <c r="AW61" s="36" t="str">
        <f t="shared" si="48"/>
        <v>XXX</v>
      </c>
      <c r="AX61" s="27" t="s">
        <v>43</v>
      </c>
      <c r="AY61" s="36">
        <f>VLOOKUP(Data[[#This Row],[Set Type]],Table_Intensity[],2,FALSE)</f>
        <v>0</v>
      </c>
      <c r="AZ61" s="36" t="str">
        <f t="shared" si="49"/>
        <v>XXX</v>
      </c>
      <c r="BA61" s="27" t="s">
        <v>152</v>
      </c>
      <c r="BB61" s="27" t="s">
        <v>152</v>
      </c>
      <c r="BC61" s="27" t="s">
        <v>152</v>
      </c>
      <c r="BD61" s="28" t="str">
        <f>IF(Data[[#This Row],[DataCol1]]&lt;&gt;"",SUBSTITUTE(_xlfn.TEXTJOIN(",",TRUE,Data[[#This Row],[DataCol1]:[DataCol48]]),"XXX",""),"")</f>
        <v>Data,0,workout_step,duration_time,35.0,,target_value,0,,notes,"Bien Droit",,message_index,55,,exercise_category,19,,duration_type,0,,target_type,2,,intensity,0,,,,</v>
      </c>
    </row>
    <row r="62" spans="1:56" x14ac:dyDescent="0.25">
      <c r="A62" s="27">
        <v>57</v>
      </c>
      <c r="B62" s="42" t="s">
        <v>65</v>
      </c>
      <c r="C62" s="35"/>
      <c r="D62" s="27" t="s">
        <v>61</v>
      </c>
      <c r="E62" s="27">
        <v>60</v>
      </c>
      <c r="H62" s="27" t="str">
        <f t="shared" si="0"/>
        <v>Data</v>
      </c>
      <c r="I62" s="27">
        <f>0</f>
        <v>0</v>
      </c>
      <c r="J62" s="27" t="str">
        <f t="shared" si="1"/>
        <v>workout_step</v>
      </c>
      <c r="N62" s="36" t="str">
        <f>IF(VLOOKUP(Data[[#This Row],[Duration Type]],Table_Duration_Type[],3,FALSE)="/","",VLOOKUP(Data[[#This Row],[Duration Type]],Table_Duration_Type[],3,FALSE))</f>
        <v>duration_time</v>
      </c>
      <c r="O62" s="36" t="str">
        <f>IF(N62&lt;&gt;"",IF(N62='Reference Lists'!$C$2,SUBSTITUTE(TEXT(Data[[#This Row],[Duration Value]],"0,0"),",","."),Data[[#This Row],[Duration Value]]),"")</f>
        <v>60.0</v>
      </c>
      <c r="P62" s="36" t="str">
        <f t="shared" si="34"/>
        <v>XXX</v>
      </c>
      <c r="Q62" s="36" t="s">
        <v>42</v>
      </c>
      <c r="R62" s="36">
        <f>0</f>
        <v>0</v>
      </c>
      <c r="S62" s="36" t="str">
        <f t="shared" si="35"/>
        <v>XXX</v>
      </c>
      <c r="Z62" s="36" t="str">
        <f t="shared" si="36"/>
        <v/>
      </c>
      <c r="AA62" s="36" t="str">
        <f>IF(Data[[#This Row],[Notes]]="","",_xlfn.CONCAT("""",SUBSTITUTE(Data[[#This Row],[Notes]],CHAR(10),"%breakline%"),""""))</f>
        <v/>
      </c>
      <c r="AB62" s="36" t="str">
        <f t="shared" si="37"/>
        <v/>
      </c>
      <c r="AC62" s="27" t="s">
        <v>37</v>
      </c>
      <c r="AD62" s="36">
        <f>Data[[#This Row],[Step n°]]-1</f>
        <v>56</v>
      </c>
      <c r="AE62" s="36" t="str">
        <f t="shared" si="38"/>
        <v>XXX</v>
      </c>
      <c r="AF62" s="36" t="str">
        <f t="shared" si="39"/>
        <v/>
      </c>
      <c r="AG62" s="36" t="str">
        <f>IF(_xlfn.IFNA(VLOOKUP(Data[[#This Row],[Exercise]],Table_Exercises[],2,FALSE),"")="","",_xlfn.IFNA(VLOOKUP(Data[[#This Row],[Exercise]],Table_Exercises[],2,FALSE),""))</f>
        <v/>
      </c>
      <c r="AH62" s="36" t="str">
        <f t="shared" si="40"/>
        <v/>
      </c>
      <c r="AI62" s="37" t="str">
        <f t="shared" si="41"/>
        <v/>
      </c>
      <c r="AJ62" s="36" t="str">
        <f>_xlfn.IFNA(IF(VLOOKUP(Data[[#This Row],[Exercise]],Table_Exercises[],3,FALSE)="/","",VLOOKUP(Data[[#This Row],[Exercise]],Table_Exercises[],3,FALSE)),"")</f>
        <v/>
      </c>
      <c r="AK62" s="36" t="str">
        <f t="shared" si="42"/>
        <v/>
      </c>
      <c r="AL62" s="27" t="str">
        <f>IF(OR(Data[[#This Row],[Weight]]="",Data[[#This Row],[Weight]]=0),"","exercise_weight")</f>
        <v/>
      </c>
      <c r="AM62" s="38" t="str">
        <f>IF(OR(Data[[#This Row],[Weight]]="",Data[[#This Row],[Weight]]=0),"",SUBSTITUTE(TEXT(Data[[#This Row],[Weight]],"0,0"),",","."))</f>
        <v/>
      </c>
      <c r="AN62" s="36" t="str">
        <f t="shared" si="43"/>
        <v/>
      </c>
      <c r="AO62" s="27" t="str">
        <f t="shared" si="44"/>
        <v/>
      </c>
      <c r="AP62" s="38" t="str">
        <f t="shared" si="45"/>
        <v/>
      </c>
      <c r="AQ62" s="36" t="str">
        <f t="shared" si="46"/>
        <v/>
      </c>
      <c r="AR62" s="27" t="s">
        <v>39</v>
      </c>
      <c r="AS62" s="36">
        <f>VLOOKUP(Data[[#This Row],[Duration Type]],Table_Duration_Type[],2,FALSE)</f>
        <v>0</v>
      </c>
      <c r="AT62" s="36" t="str">
        <f t="shared" si="47"/>
        <v>XXX</v>
      </c>
      <c r="AU62" s="27" t="s">
        <v>41</v>
      </c>
      <c r="AV62" s="36">
        <f>2</f>
        <v>2</v>
      </c>
      <c r="AW62" s="36" t="str">
        <f t="shared" si="48"/>
        <v>XXX</v>
      </c>
      <c r="AX62" s="27" t="s">
        <v>43</v>
      </c>
      <c r="AY62" s="36">
        <f>VLOOKUP(Data[[#This Row],[Set Type]],Table_Intensity[],2,FALSE)</f>
        <v>1</v>
      </c>
      <c r="AZ62" s="36" t="str">
        <f t="shared" si="49"/>
        <v>XXX</v>
      </c>
      <c r="BA62" s="27" t="s">
        <v>152</v>
      </c>
      <c r="BB62" s="27" t="s">
        <v>152</v>
      </c>
      <c r="BC62" s="27" t="s">
        <v>152</v>
      </c>
      <c r="BD62" s="28" t="str">
        <f>IF(Data[[#This Row],[DataCol1]]&lt;&gt;"",SUBSTITUTE(_xlfn.TEXTJOIN(",",TRUE,Data[[#This Row],[DataCol1]:[DataCol48]]),"XXX",""),"")</f>
        <v>Data,0,workout_step,duration_time,60.0,,target_value,0,,message_index,56,,duration_type,0,,target_type,2,,intensity,1,,,,</v>
      </c>
    </row>
    <row r="63" spans="1:56" x14ac:dyDescent="0.25">
      <c r="A63" s="27">
        <v>58</v>
      </c>
      <c r="B63" s="42" t="s">
        <v>64</v>
      </c>
      <c r="C63" s="35" t="s">
        <v>250</v>
      </c>
      <c r="D63" s="27" t="s">
        <v>61</v>
      </c>
      <c r="E63" s="27">
        <v>35</v>
      </c>
      <c r="F63" s="27">
        <v>0</v>
      </c>
      <c r="G63" s="39" t="s">
        <v>257</v>
      </c>
      <c r="H63" s="27" t="str">
        <f t="shared" si="0"/>
        <v>Data</v>
      </c>
      <c r="I63" s="27">
        <f>0</f>
        <v>0</v>
      </c>
      <c r="J63" s="27" t="str">
        <f t="shared" si="1"/>
        <v>workout_step</v>
      </c>
      <c r="N63" s="36" t="str">
        <f>IF(VLOOKUP(Data[[#This Row],[Duration Type]],Table_Duration_Type[],3,FALSE)="/","",VLOOKUP(Data[[#This Row],[Duration Type]],Table_Duration_Type[],3,FALSE))</f>
        <v>duration_time</v>
      </c>
      <c r="O63" s="36" t="str">
        <f>IF(N63&lt;&gt;"",IF(N63='Reference Lists'!$C$2,SUBSTITUTE(TEXT(Data[[#This Row],[Duration Value]],"0,0"),",","."),Data[[#This Row],[Duration Value]]),"")</f>
        <v>35.0</v>
      </c>
      <c r="P63" s="36" t="str">
        <f t="shared" si="34"/>
        <v>XXX</v>
      </c>
      <c r="Q63" s="36" t="s">
        <v>42</v>
      </c>
      <c r="R63" s="36">
        <f>0</f>
        <v>0</v>
      </c>
      <c r="S63" s="36" t="str">
        <f t="shared" si="35"/>
        <v>XXX</v>
      </c>
      <c r="Z63" s="36" t="str">
        <f t="shared" si="36"/>
        <v>notes</v>
      </c>
      <c r="AA63" s="36" t="str">
        <f>IF(Data[[#This Row],[Notes]]="","",_xlfn.CONCAT("""",SUBSTITUTE(Data[[#This Row],[Notes]],CHAR(10),"%breakline%"),""""))</f>
        <v>"Bien Droit"</v>
      </c>
      <c r="AB63" s="36" t="str">
        <f t="shared" si="37"/>
        <v>XXX</v>
      </c>
      <c r="AC63" s="27" t="s">
        <v>37</v>
      </c>
      <c r="AD63" s="36">
        <f>Data[[#This Row],[Step n°]]-1</f>
        <v>57</v>
      </c>
      <c r="AE63" s="36" t="str">
        <f t="shared" si="38"/>
        <v>XXX</v>
      </c>
      <c r="AF63" s="36" t="str">
        <f t="shared" si="39"/>
        <v>exercise_category</v>
      </c>
      <c r="AG63" s="36">
        <f>IF(_xlfn.IFNA(VLOOKUP(Data[[#This Row],[Exercise]],Table_Exercises[],2,FALSE),"")="","",_xlfn.IFNA(VLOOKUP(Data[[#This Row],[Exercise]],Table_Exercises[],2,FALSE),""))</f>
        <v>19</v>
      </c>
      <c r="AH63" s="36" t="str">
        <f t="shared" si="40"/>
        <v>XXX</v>
      </c>
      <c r="AI63" s="37" t="str">
        <f t="shared" si="41"/>
        <v/>
      </c>
      <c r="AJ63" s="36" t="str">
        <f>_xlfn.IFNA(IF(VLOOKUP(Data[[#This Row],[Exercise]],Table_Exercises[],3,FALSE)="/","",VLOOKUP(Data[[#This Row],[Exercise]],Table_Exercises[],3,FALSE)),"")</f>
        <v/>
      </c>
      <c r="AK63" s="36" t="str">
        <f t="shared" si="42"/>
        <v/>
      </c>
      <c r="AL63" s="27" t="str">
        <f>IF(OR(Data[[#This Row],[Weight]]="",Data[[#This Row],[Weight]]=0),"","exercise_weight")</f>
        <v/>
      </c>
      <c r="AM63" s="38" t="str">
        <f>IF(OR(Data[[#This Row],[Weight]]="",Data[[#This Row],[Weight]]=0),"",SUBSTITUTE(TEXT(Data[[#This Row],[Weight]],"0,0"),",","."))</f>
        <v/>
      </c>
      <c r="AN63" s="36" t="str">
        <f t="shared" si="43"/>
        <v/>
      </c>
      <c r="AO63" s="27" t="str">
        <f t="shared" si="44"/>
        <v/>
      </c>
      <c r="AP63" s="38" t="str">
        <f t="shared" si="45"/>
        <v/>
      </c>
      <c r="AQ63" s="36" t="str">
        <f t="shared" si="46"/>
        <v/>
      </c>
      <c r="AR63" s="27" t="s">
        <v>39</v>
      </c>
      <c r="AS63" s="36">
        <f>VLOOKUP(Data[[#This Row],[Duration Type]],Table_Duration_Type[],2,FALSE)</f>
        <v>0</v>
      </c>
      <c r="AT63" s="36" t="str">
        <f t="shared" si="47"/>
        <v>XXX</v>
      </c>
      <c r="AU63" s="27" t="s">
        <v>41</v>
      </c>
      <c r="AV63" s="36">
        <f>2</f>
        <v>2</v>
      </c>
      <c r="AW63" s="36" t="str">
        <f t="shared" si="48"/>
        <v>XXX</v>
      </c>
      <c r="AX63" s="27" t="s">
        <v>43</v>
      </c>
      <c r="AY63" s="36">
        <f>VLOOKUP(Data[[#This Row],[Set Type]],Table_Intensity[],2,FALSE)</f>
        <v>0</v>
      </c>
      <c r="AZ63" s="36" t="str">
        <f t="shared" si="49"/>
        <v>XXX</v>
      </c>
      <c r="BA63" s="27" t="s">
        <v>152</v>
      </c>
      <c r="BB63" s="27" t="s">
        <v>152</v>
      </c>
      <c r="BC63" s="27" t="s">
        <v>152</v>
      </c>
      <c r="BD63" s="28" t="str">
        <f>IF(Data[[#This Row],[DataCol1]]&lt;&gt;"",SUBSTITUTE(_xlfn.TEXTJOIN(",",TRUE,Data[[#This Row],[DataCol1]:[DataCol48]]),"XXX",""),"")</f>
        <v>Data,0,workout_step,duration_time,35.0,,target_value,0,,notes,"Bien Droit",,message_index,57,,exercise_category,19,,duration_type,0,,target_type,2,,intensity,0,,,,</v>
      </c>
    </row>
    <row r="64" spans="1:56" x14ac:dyDescent="0.25">
      <c r="A64" s="27">
        <v>59</v>
      </c>
      <c r="B64" s="42" t="s">
        <v>65</v>
      </c>
      <c r="C64" s="35"/>
      <c r="D64" s="27" t="s">
        <v>61</v>
      </c>
      <c r="E64" s="27">
        <v>60</v>
      </c>
      <c r="H64" s="27" t="str">
        <f t="shared" si="0"/>
        <v>Data</v>
      </c>
      <c r="I64" s="27">
        <f>0</f>
        <v>0</v>
      </c>
      <c r="J64" s="27" t="str">
        <f t="shared" si="1"/>
        <v>workout_step</v>
      </c>
      <c r="N64" s="36" t="str">
        <f>IF(VLOOKUP(Data[[#This Row],[Duration Type]],Table_Duration_Type[],3,FALSE)="/","",VLOOKUP(Data[[#This Row],[Duration Type]],Table_Duration_Type[],3,FALSE))</f>
        <v>duration_time</v>
      </c>
      <c r="O64" s="36" t="str">
        <f>IF(N64&lt;&gt;"",IF(N64='Reference Lists'!$C$2,SUBSTITUTE(TEXT(Data[[#This Row],[Duration Value]],"0,0"),",","."),Data[[#This Row],[Duration Value]]),"")</f>
        <v>60.0</v>
      </c>
      <c r="P64" s="36" t="str">
        <f t="shared" si="34"/>
        <v>XXX</v>
      </c>
      <c r="Q64" s="36" t="s">
        <v>42</v>
      </c>
      <c r="R64" s="36">
        <f>0</f>
        <v>0</v>
      </c>
      <c r="S64" s="36" t="str">
        <f t="shared" si="35"/>
        <v>XXX</v>
      </c>
      <c r="Z64" s="36" t="str">
        <f t="shared" si="36"/>
        <v/>
      </c>
      <c r="AA64" s="36" t="str">
        <f>IF(Data[[#This Row],[Notes]]="","",_xlfn.CONCAT("""",SUBSTITUTE(Data[[#This Row],[Notes]],CHAR(10),"%breakline%"),""""))</f>
        <v/>
      </c>
      <c r="AB64" s="36" t="str">
        <f t="shared" si="37"/>
        <v/>
      </c>
      <c r="AC64" s="27" t="s">
        <v>37</v>
      </c>
      <c r="AD64" s="36">
        <f>Data[[#This Row],[Step n°]]-1</f>
        <v>58</v>
      </c>
      <c r="AE64" s="36" t="str">
        <f t="shared" si="38"/>
        <v>XXX</v>
      </c>
      <c r="AF64" s="36" t="str">
        <f t="shared" si="39"/>
        <v/>
      </c>
      <c r="AG64" s="36" t="str">
        <f>IF(_xlfn.IFNA(VLOOKUP(Data[[#This Row],[Exercise]],Table_Exercises[],2,FALSE),"")="","",_xlfn.IFNA(VLOOKUP(Data[[#This Row],[Exercise]],Table_Exercises[],2,FALSE),""))</f>
        <v/>
      </c>
      <c r="AH64" s="36" t="str">
        <f t="shared" si="40"/>
        <v/>
      </c>
      <c r="AI64" s="37" t="str">
        <f t="shared" si="41"/>
        <v/>
      </c>
      <c r="AJ64" s="36" t="str">
        <f>_xlfn.IFNA(IF(VLOOKUP(Data[[#This Row],[Exercise]],Table_Exercises[],3,FALSE)="/","",VLOOKUP(Data[[#This Row],[Exercise]],Table_Exercises[],3,FALSE)),"")</f>
        <v/>
      </c>
      <c r="AK64" s="36" t="str">
        <f t="shared" si="42"/>
        <v/>
      </c>
      <c r="AL64" s="27" t="str">
        <f>IF(OR(Data[[#This Row],[Weight]]="",Data[[#This Row],[Weight]]=0),"","exercise_weight")</f>
        <v/>
      </c>
      <c r="AM64" s="38" t="str">
        <f>IF(OR(Data[[#This Row],[Weight]]="",Data[[#This Row],[Weight]]=0),"",SUBSTITUTE(TEXT(Data[[#This Row],[Weight]],"0,0"),",","."))</f>
        <v/>
      </c>
      <c r="AN64" s="36" t="str">
        <f t="shared" si="43"/>
        <v/>
      </c>
      <c r="AO64" s="27" t="str">
        <f t="shared" si="44"/>
        <v/>
      </c>
      <c r="AP64" s="38" t="str">
        <f t="shared" si="45"/>
        <v/>
      </c>
      <c r="AQ64" s="36" t="str">
        <f t="shared" si="46"/>
        <v/>
      </c>
      <c r="AR64" s="27" t="s">
        <v>39</v>
      </c>
      <c r="AS64" s="36">
        <f>VLOOKUP(Data[[#This Row],[Duration Type]],Table_Duration_Type[],2,FALSE)</f>
        <v>0</v>
      </c>
      <c r="AT64" s="36" t="str">
        <f t="shared" si="47"/>
        <v>XXX</v>
      </c>
      <c r="AU64" s="27" t="s">
        <v>41</v>
      </c>
      <c r="AV64" s="36">
        <f>2</f>
        <v>2</v>
      </c>
      <c r="AW64" s="36" t="str">
        <f t="shared" si="48"/>
        <v>XXX</v>
      </c>
      <c r="AX64" s="27" t="s">
        <v>43</v>
      </c>
      <c r="AY64" s="36">
        <f>VLOOKUP(Data[[#This Row],[Set Type]],Table_Intensity[],2,FALSE)</f>
        <v>1</v>
      </c>
      <c r="AZ64" s="36" t="str">
        <f t="shared" si="49"/>
        <v>XXX</v>
      </c>
      <c r="BA64" s="27" t="s">
        <v>152</v>
      </c>
      <c r="BB64" s="27" t="s">
        <v>152</v>
      </c>
      <c r="BC64" s="27" t="s">
        <v>152</v>
      </c>
      <c r="BD64" s="28" t="str">
        <f>IF(Data[[#This Row],[DataCol1]]&lt;&gt;"",SUBSTITUTE(_xlfn.TEXTJOIN(",",TRUE,Data[[#This Row],[DataCol1]:[DataCol48]]),"XXX",""),"")</f>
        <v>Data,0,workout_step,duration_time,60.0,,target_value,0,,message_index,58,,duration_type,0,,target_type,2,,intensity,1,,,,</v>
      </c>
    </row>
    <row r="65" spans="1:56" ht="105" x14ac:dyDescent="0.25">
      <c r="A65" s="27">
        <v>60</v>
      </c>
      <c r="B65" s="42" t="s">
        <v>105</v>
      </c>
      <c r="C65" s="35" t="s">
        <v>244</v>
      </c>
      <c r="D65" s="27" t="s">
        <v>62</v>
      </c>
      <c r="E65" s="27">
        <v>8</v>
      </c>
      <c r="F65" s="27">
        <v>2</v>
      </c>
      <c r="G65" s="39" t="s">
        <v>258</v>
      </c>
      <c r="H65" s="27" t="str">
        <f t="shared" si="0"/>
        <v>Data</v>
      </c>
      <c r="I65" s="27">
        <f>0</f>
        <v>0</v>
      </c>
      <c r="J65" s="27" t="str">
        <f t="shared" si="1"/>
        <v>workout_step</v>
      </c>
      <c r="N65" s="36" t="str">
        <f>IF(VLOOKUP(Data[[#This Row],[Duration Type]],Table_Duration_Type[],3,FALSE)="/","",VLOOKUP(Data[[#This Row],[Duration Type]],Table_Duration_Type[],3,FALSE))</f>
        <v>duration_reps</v>
      </c>
      <c r="O65" s="36">
        <f>IF(N65&lt;&gt;"",IF(N65='Reference Lists'!$C$2,SUBSTITUTE(TEXT(Data[[#This Row],[Duration Value]],"0,0"),",","."),Data[[#This Row],[Duration Value]]),"")</f>
        <v>8</v>
      </c>
      <c r="P65" s="36" t="str">
        <f t="shared" si="34"/>
        <v>XXX</v>
      </c>
      <c r="Q65" s="36" t="s">
        <v>42</v>
      </c>
      <c r="R65" s="36">
        <f>0</f>
        <v>0</v>
      </c>
      <c r="S65" s="36" t="str">
        <f t="shared" si="35"/>
        <v>XXX</v>
      </c>
      <c r="Z65" s="36" t="str">
        <f t="shared" si="36"/>
        <v>notes</v>
      </c>
      <c r="AA65" s="36" t="str">
        <f>IF(Data[[#This Row],[Notes]]="","",_xlfn.CONCAT("""",SUBSTITUTE(Data[[#This Row],[Notes]],CHAR(10),"%breakline%"),""""))</f>
        <v>"Jambre droite%breakline%%breakline%Haltère du côté travaillé%breakline%Stabiliser avec banc%breakline%Lock en haut%breakline%Inspirer en descendant%breakline%Expirer en montant"</v>
      </c>
      <c r="AB65" s="36" t="str">
        <f t="shared" si="37"/>
        <v>XXX</v>
      </c>
      <c r="AC65" s="27" t="s">
        <v>37</v>
      </c>
      <c r="AD65" s="36">
        <f>Data[[#This Row],[Step n°]]-1</f>
        <v>59</v>
      </c>
      <c r="AE65" s="36" t="str">
        <f t="shared" si="38"/>
        <v>XXX</v>
      </c>
      <c r="AF65" s="36" t="str">
        <f t="shared" si="39"/>
        <v>exercise_category</v>
      </c>
      <c r="AG65" s="36">
        <f>IF(_xlfn.IFNA(VLOOKUP(Data[[#This Row],[Exercise]],Table_Exercises[],2,FALSE),"")="","",_xlfn.IFNA(VLOOKUP(Data[[#This Row],[Exercise]],Table_Exercises[],2,FALSE),""))</f>
        <v>1</v>
      </c>
      <c r="AH65" s="36" t="str">
        <f t="shared" si="40"/>
        <v>XXX</v>
      </c>
      <c r="AI65" s="37" t="str">
        <f t="shared" si="41"/>
        <v>exercise_name</v>
      </c>
      <c r="AJ65" s="36">
        <f>_xlfn.IFNA(IF(VLOOKUP(Data[[#This Row],[Exercise]],Table_Exercises[],3,FALSE)="/","",VLOOKUP(Data[[#This Row],[Exercise]],Table_Exercises[],3,FALSE)),"")</f>
        <v>16</v>
      </c>
      <c r="AK65" s="36" t="str">
        <f t="shared" si="42"/>
        <v>XXX</v>
      </c>
      <c r="AL65" s="27" t="str">
        <f>IF(OR(Data[[#This Row],[Weight]]="",Data[[#This Row],[Weight]]=0),"","exercise_weight")</f>
        <v>exercise_weight</v>
      </c>
      <c r="AM65" s="38" t="str">
        <f>IF(OR(Data[[#This Row],[Weight]]="",Data[[#This Row],[Weight]]=0),"",SUBSTITUTE(TEXT(Data[[#This Row],[Weight]],"0,0"),",","."))</f>
        <v>2.0</v>
      </c>
      <c r="AN65" s="36" t="str">
        <f t="shared" si="43"/>
        <v>XXX</v>
      </c>
      <c r="AO65" s="27" t="str">
        <f t="shared" si="44"/>
        <v>weight_display_unit</v>
      </c>
      <c r="AP65" s="38">
        <f t="shared" si="45"/>
        <v>1</v>
      </c>
      <c r="AQ65" s="36" t="str">
        <f t="shared" si="46"/>
        <v>XXX</v>
      </c>
      <c r="AR65" s="27" t="s">
        <v>39</v>
      </c>
      <c r="AS65" s="36">
        <f>VLOOKUP(Data[[#This Row],[Duration Type]],Table_Duration_Type[],2,FALSE)</f>
        <v>29</v>
      </c>
      <c r="AT65" s="36" t="str">
        <f t="shared" si="47"/>
        <v>XXX</v>
      </c>
      <c r="AU65" s="27" t="s">
        <v>41</v>
      </c>
      <c r="AV65" s="36">
        <f>2</f>
        <v>2</v>
      </c>
      <c r="AW65" s="36" t="str">
        <f t="shared" si="48"/>
        <v>XXX</v>
      </c>
      <c r="AX65" s="27" t="s">
        <v>43</v>
      </c>
      <c r="AY65" s="36">
        <f>VLOOKUP(Data[[#This Row],[Set Type]],Table_Intensity[],2,FALSE)</f>
        <v>2</v>
      </c>
      <c r="AZ65" s="36" t="str">
        <f t="shared" si="49"/>
        <v>XXX</v>
      </c>
      <c r="BA65" s="27" t="s">
        <v>152</v>
      </c>
      <c r="BB65" s="27" t="s">
        <v>152</v>
      </c>
      <c r="BC65" s="27" t="s">
        <v>152</v>
      </c>
      <c r="BD65" s="28" t="str">
        <f>IF(Data[[#This Row],[DataCol1]]&lt;&gt;"",SUBSTITUTE(_xlfn.TEXTJOIN(",",TRUE,Data[[#This Row],[DataCol1]:[DataCol48]]),"XXX",""),"")</f>
        <v>Data,0,workout_step,duration_reps,8,,target_value,0,,notes,"Jambre droite%breakline%%breakline%Haltère du côté travaillé%breakline%Stabiliser avec banc%breakline%Lock en haut%breakline%Inspirer en descendant%breakline%Expirer en montant",,message_index,59,,exercise_category,1,,exercise_name,16,,exercise_weight,2.0,,weight_display_unit,1,,duration_type,29,,target_type,2,,intensity,2,,,,</v>
      </c>
    </row>
    <row r="66" spans="1:56" x14ac:dyDescent="0.25">
      <c r="A66" s="27">
        <v>61</v>
      </c>
      <c r="B66" s="42" t="s">
        <v>65</v>
      </c>
      <c r="C66" s="35"/>
      <c r="D66" s="27" t="s">
        <v>79</v>
      </c>
      <c r="H66" s="27" t="str">
        <f t="shared" si="0"/>
        <v>Data</v>
      </c>
      <c r="I66" s="27">
        <f>0</f>
        <v>0</v>
      </c>
      <c r="J66" s="27" t="str">
        <f t="shared" si="1"/>
        <v>workout_step</v>
      </c>
      <c r="N66" s="36" t="str">
        <f>IF(VLOOKUP(Data[[#This Row],[Duration Type]],Table_Duration_Type[],3,FALSE)="/","",VLOOKUP(Data[[#This Row],[Duration Type]],Table_Duration_Type[],3,FALSE))</f>
        <v/>
      </c>
      <c r="O66" s="36" t="str">
        <f>IF(N66&lt;&gt;"",IF(N66='Reference Lists'!$C$2,SUBSTITUTE(TEXT(Data[[#This Row],[Duration Value]],"0,0"),",","."),Data[[#This Row],[Duration Value]]),"")</f>
        <v/>
      </c>
      <c r="P66" s="36" t="str">
        <f t="shared" si="34"/>
        <v/>
      </c>
      <c r="Q66" s="36" t="s">
        <v>42</v>
      </c>
      <c r="R66" s="36">
        <f>0</f>
        <v>0</v>
      </c>
      <c r="S66" s="36" t="str">
        <f t="shared" si="35"/>
        <v>XXX</v>
      </c>
      <c r="Z66" s="36" t="str">
        <f t="shared" si="36"/>
        <v/>
      </c>
      <c r="AA66" s="36" t="str">
        <f>IF(Data[[#This Row],[Notes]]="","",_xlfn.CONCAT("""",SUBSTITUTE(Data[[#This Row],[Notes]],CHAR(10),"%breakline%"),""""))</f>
        <v/>
      </c>
      <c r="AB66" s="36" t="str">
        <f t="shared" si="37"/>
        <v/>
      </c>
      <c r="AC66" s="27" t="s">
        <v>37</v>
      </c>
      <c r="AD66" s="36">
        <f>Data[[#This Row],[Step n°]]-1</f>
        <v>60</v>
      </c>
      <c r="AE66" s="36" t="str">
        <f t="shared" si="38"/>
        <v>XXX</v>
      </c>
      <c r="AF66" s="36" t="str">
        <f t="shared" si="39"/>
        <v/>
      </c>
      <c r="AG66" s="36" t="str">
        <f>IF(_xlfn.IFNA(VLOOKUP(Data[[#This Row],[Exercise]],Table_Exercises[],2,FALSE),"")="","",_xlfn.IFNA(VLOOKUP(Data[[#This Row],[Exercise]],Table_Exercises[],2,FALSE),""))</f>
        <v/>
      </c>
      <c r="AH66" s="36" t="str">
        <f t="shared" si="40"/>
        <v/>
      </c>
      <c r="AI66" s="37" t="str">
        <f t="shared" si="41"/>
        <v/>
      </c>
      <c r="AJ66" s="36" t="str">
        <f>_xlfn.IFNA(IF(VLOOKUP(Data[[#This Row],[Exercise]],Table_Exercises[],3,FALSE)="/","",VLOOKUP(Data[[#This Row],[Exercise]],Table_Exercises[],3,FALSE)),"")</f>
        <v/>
      </c>
      <c r="AK66" s="36" t="str">
        <f t="shared" si="42"/>
        <v/>
      </c>
      <c r="AL66" s="27" t="str">
        <f>IF(OR(Data[[#This Row],[Weight]]="",Data[[#This Row],[Weight]]=0),"","exercise_weight")</f>
        <v/>
      </c>
      <c r="AM66" s="38" t="str">
        <f>IF(OR(Data[[#This Row],[Weight]]="",Data[[#This Row],[Weight]]=0),"",SUBSTITUTE(TEXT(Data[[#This Row],[Weight]],"0,0"),",","."))</f>
        <v/>
      </c>
      <c r="AN66" s="36" t="str">
        <f t="shared" si="43"/>
        <v/>
      </c>
      <c r="AO66" s="27" t="str">
        <f t="shared" si="44"/>
        <v/>
      </c>
      <c r="AP66" s="38" t="str">
        <f t="shared" si="45"/>
        <v/>
      </c>
      <c r="AQ66" s="36" t="str">
        <f t="shared" si="46"/>
        <v/>
      </c>
      <c r="AR66" s="27" t="s">
        <v>39</v>
      </c>
      <c r="AS66" s="36">
        <f>VLOOKUP(Data[[#This Row],[Duration Type]],Table_Duration_Type[],2,FALSE)</f>
        <v>5</v>
      </c>
      <c r="AT66" s="36" t="str">
        <f t="shared" si="47"/>
        <v>XXX</v>
      </c>
      <c r="AU66" s="27" t="s">
        <v>41</v>
      </c>
      <c r="AV66" s="36">
        <f>2</f>
        <v>2</v>
      </c>
      <c r="AW66" s="36" t="str">
        <f t="shared" si="48"/>
        <v>XXX</v>
      </c>
      <c r="AX66" s="27" t="s">
        <v>43</v>
      </c>
      <c r="AY66" s="36">
        <f>VLOOKUP(Data[[#This Row],[Set Type]],Table_Intensity[],2,FALSE)</f>
        <v>1</v>
      </c>
      <c r="AZ66" s="36" t="str">
        <f t="shared" si="49"/>
        <v>XXX</v>
      </c>
      <c r="BA66" s="27" t="s">
        <v>152</v>
      </c>
      <c r="BB66" s="27" t="s">
        <v>152</v>
      </c>
      <c r="BC66" s="27" t="s">
        <v>152</v>
      </c>
      <c r="BD66" s="28" t="str">
        <f>IF(Data[[#This Row],[DataCol1]]&lt;&gt;"",SUBSTITUTE(_xlfn.TEXTJOIN(",",TRUE,Data[[#This Row],[DataCol1]:[DataCol48]]),"XXX",""),"")</f>
        <v>Data,0,workout_step,target_value,0,,message_index,60,,duration_type,5,,target_type,2,,intensity,1,,,,</v>
      </c>
    </row>
    <row r="67" spans="1:56" ht="105" x14ac:dyDescent="0.25">
      <c r="A67" s="27">
        <v>62</v>
      </c>
      <c r="B67" s="42" t="s">
        <v>64</v>
      </c>
      <c r="C67" s="35" t="s">
        <v>244</v>
      </c>
      <c r="D67" s="27" t="s">
        <v>62</v>
      </c>
      <c r="E67" s="27">
        <v>20</v>
      </c>
      <c r="F67" s="27">
        <v>4</v>
      </c>
      <c r="G67" s="39" t="s">
        <v>258</v>
      </c>
      <c r="H67" s="27" t="str">
        <f t="shared" si="0"/>
        <v>Data</v>
      </c>
      <c r="I67" s="27">
        <f>0</f>
        <v>0</v>
      </c>
      <c r="J67" s="27" t="str">
        <f t="shared" si="1"/>
        <v>workout_step</v>
      </c>
      <c r="N67" s="36" t="str">
        <f>IF(VLOOKUP(Data[[#This Row],[Duration Type]],Table_Duration_Type[],3,FALSE)="/","",VLOOKUP(Data[[#This Row],[Duration Type]],Table_Duration_Type[],3,FALSE))</f>
        <v>duration_reps</v>
      </c>
      <c r="O67" s="36">
        <f>IF(N67&lt;&gt;"",IF(N67='Reference Lists'!$C$2,SUBSTITUTE(TEXT(Data[[#This Row],[Duration Value]],"0,0"),",","."),Data[[#This Row],[Duration Value]]),"")</f>
        <v>20</v>
      </c>
      <c r="P67" s="36" t="str">
        <f t="shared" si="34"/>
        <v>XXX</v>
      </c>
      <c r="Q67" s="36" t="s">
        <v>42</v>
      </c>
      <c r="R67" s="36">
        <f>0</f>
        <v>0</v>
      </c>
      <c r="S67" s="36" t="str">
        <f t="shared" si="35"/>
        <v>XXX</v>
      </c>
      <c r="Z67" s="36" t="str">
        <f t="shared" si="36"/>
        <v>notes</v>
      </c>
      <c r="AA67" s="36" t="str">
        <f>IF(Data[[#This Row],[Notes]]="","",_xlfn.CONCAT("""",SUBSTITUTE(Data[[#This Row],[Notes]],CHAR(10),"%breakline%"),""""))</f>
        <v>"Jambre droite%breakline%%breakline%Haltère du côté travaillé%breakline%Stabiliser avec banc%breakline%Lock en haut%breakline%Inspirer en descendant%breakline%Expirer en montant"</v>
      </c>
      <c r="AB67" s="36" t="str">
        <f t="shared" si="37"/>
        <v>XXX</v>
      </c>
      <c r="AC67" s="27" t="s">
        <v>37</v>
      </c>
      <c r="AD67" s="36">
        <f>Data[[#This Row],[Step n°]]-1</f>
        <v>61</v>
      </c>
      <c r="AE67" s="36" t="str">
        <f t="shared" si="38"/>
        <v>XXX</v>
      </c>
      <c r="AF67" s="36" t="str">
        <f t="shared" si="39"/>
        <v>exercise_category</v>
      </c>
      <c r="AG67" s="36">
        <f>IF(_xlfn.IFNA(VLOOKUP(Data[[#This Row],[Exercise]],Table_Exercises[],2,FALSE),"")="","",_xlfn.IFNA(VLOOKUP(Data[[#This Row],[Exercise]],Table_Exercises[],2,FALSE),""))</f>
        <v>1</v>
      </c>
      <c r="AH67" s="36" t="str">
        <f t="shared" si="40"/>
        <v>XXX</v>
      </c>
      <c r="AI67" s="37" t="str">
        <f t="shared" si="41"/>
        <v>exercise_name</v>
      </c>
      <c r="AJ67" s="36">
        <f>_xlfn.IFNA(IF(VLOOKUP(Data[[#This Row],[Exercise]],Table_Exercises[],3,FALSE)="/","",VLOOKUP(Data[[#This Row],[Exercise]],Table_Exercises[],3,FALSE)),"")</f>
        <v>16</v>
      </c>
      <c r="AK67" s="36" t="str">
        <f t="shared" si="42"/>
        <v>XXX</v>
      </c>
      <c r="AL67" s="27" t="str">
        <f>IF(OR(Data[[#This Row],[Weight]]="",Data[[#This Row],[Weight]]=0),"","exercise_weight")</f>
        <v>exercise_weight</v>
      </c>
      <c r="AM67" s="38" t="str">
        <f>IF(OR(Data[[#This Row],[Weight]]="",Data[[#This Row],[Weight]]=0),"",SUBSTITUTE(TEXT(Data[[#This Row],[Weight]],"0,0"),",","."))</f>
        <v>4.0</v>
      </c>
      <c r="AN67" s="36" t="str">
        <f t="shared" si="43"/>
        <v>XXX</v>
      </c>
      <c r="AO67" s="27" t="str">
        <f t="shared" si="44"/>
        <v>weight_display_unit</v>
      </c>
      <c r="AP67" s="38">
        <f t="shared" si="45"/>
        <v>1</v>
      </c>
      <c r="AQ67" s="36" t="str">
        <f t="shared" si="46"/>
        <v>XXX</v>
      </c>
      <c r="AR67" s="27" t="s">
        <v>39</v>
      </c>
      <c r="AS67" s="36">
        <f>VLOOKUP(Data[[#This Row],[Duration Type]],Table_Duration_Type[],2,FALSE)</f>
        <v>29</v>
      </c>
      <c r="AT67" s="36" t="str">
        <f t="shared" si="47"/>
        <v>XXX</v>
      </c>
      <c r="AU67" s="27" t="s">
        <v>41</v>
      </c>
      <c r="AV67" s="36">
        <f>2</f>
        <v>2</v>
      </c>
      <c r="AW67" s="36" t="str">
        <f t="shared" si="48"/>
        <v>XXX</v>
      </c>
      <c r="AX67" s="27" t="s">
        <v>43</v>
      </c>
      <c r="AY67" s="36">
        <f>VLOOKUP(Data[[#This Row],[Set Type]],Table_Intensity[],2,FALSE)</f>
        <v>0</v>
      </c>
      <c r="AZ67" s="36" t="str">
        <f t="shared" si="49"/>
        <v>XXX</v>
      </c>
      <c r="BA67" s="27" t="s">
        <v>152</v>
      </c>
      <c r="BB67" s="27" t="s">
        <v>152</v>
      </c>
      <c r="BC67" s="27" t="s">
        <v>152</v>
      </c>
      <c r="BD67" s="28" t="str">
        <f>IF(Data[[#This Row],[DataCol1]]&lt;&gt;"",SUBSTITUTE(_xlfn.TEXTJOIN(",",TRUE,Data[[#This Row],[DataCol1]:[DataCol48]]),"XXX",""),"")</f>
        <v>Data,0,workout_step,duration_reps,20,,target_value,0,,notes,"Jambre droite%breakline%%breakline%Haltère du côté travaillé%breakline%Stabiliser avec banc%breakline%Lock en haut%breakline%Inspirer en descendant%breakline%Expirer en montant",,message_index,61,,exercise_category,1,,exercise_name,16,,exercise_weight,4.0,,weight_display_unit,1,,duration_type,29,,target_type,2,,intensity,0,,,,</v>
      </c>
    </row>
    <row r="68" spans="1:56" x14ac:dyDescent="0.25">
      <c r="A68" s="27">
        <v>63</v>
      </c>
      <c r="B68" s="42" t="s">
        <v>65</v>
      </c>
      <c r="C68" s="35"/>
      <c r="D68" s="27" t="s">
        <v>79</v>
      </c>
      <c r="H68" s="27" t="str">
        <f t="shared" si="0"/>
        <v>Data</v>
      </c>
      <c r="I68" s="27">
        <f>0</f>
        <v>0</v>
      </c>
      <c r="J68" s="27" t="str">
        <f t="shared" si="1"/>
        <v>workout_step</v>
      </c>
      <c r="N68" s="36" t="str">
        <f>IF(VLOOKUP(Data[[#This Row],[Duration Type]],Table_Duration_Type[],3,FALSE)="/","",VLOOKUP(Data[[#This Row],[Duration Type]],Table_Duration_Type[],3,FALSE))</f>
        <v/>
      </c>
      <c r="O68" s="36" t="str">
        <f>IF(N68&lt;&gt;"",IF(N68='Reference Lists'!$C$2,SUBSTITUTE(TEXT(Data[[#This Row],[Duration Value]],"0,0"),",","."),Data[[#This Row],[Duration Value]]),"")</f>
        <v/>
      </c>
      <c r="P68" s="36" t="str">
        <f t="shared" si="34"/>
        <v/>
      </c>
      <c r="Q68" s="36" t="s">
        <v>42</v>
      </c>
      <c r="R68" s="36">
        <f>0</f>
        <v>0</v>
      </c>
      <c r="S68" s="36" t="str">
        <f t="shared" si="35"/>
        <v>XXX</v>
      </c>
      <c r="Z68" s="36" t="str">
        <f t="shared" si="36"/>
        <v/>
      </c>
      <c r="AA68" s="36" t="str">
        <f>IF(Data[[#This Row],[Notes]]="","",_xlfn.CONCAT("""",SUBSTITUTE(Data[[#This Row],[Notes]],CHAR(10),"%breakline%"),""""))</f>
        <v/>
      </c>
      <c r="AB68" s="36" t="str">
        <f t="shared" si="37"/>
        <v/>
      </c>
      <c r="AC68" s="27" t="s">
        <v>37</v>
      </c>
      <c r="AD68" s="36">
        <f>Data[[#This Row],[Step n°]]-1</f>
        <v>62</v>
      </c>
      <c r="AE68" s="36" t="str">
        <f t="shared" si="38"/>
        <v>XXX</v>
      </c>
      <c r="AF68" s="36" t="str">
        <f t="shared" si="39"/>
        <v/>
      </c>
      <c r="AG68" s="36" t="str">
        <f>IF(_xlfn.IFNA(VLOOKUP(Data[[#This Row],[Exercise]],Table_Exercises[],2,FALSE),"")="","",_xlfn.IFNA(VLOOKUP(Data[[#This Row],[Exercise]],Table_Exercises[],2,FALSE),""))</f>
        <v/>
      </c>
      <c r="AH68" s="36" t="str">
        <f t="shared" si="40"/>
        <v/>
      </c>
      <c r="AI68" s="37" t="str">
        <f t="shared" si="41"/>
        <v/>
      </c>
      <c r="AJ68" s="36" t="str">
        <f>_xlfn.IFNA(IF(VLOOKUP(Data[[#This Row],[Exercise]],Table_Exercises[],3,FALSE)="/","",VLOOKUP(Data[[#This Row],[Exercise]],Table_Exercises[],3,FALSE)),"")</f>
        <v/>
      </c>
      <c r="AK68" s="36" t="str">
        <f t="shared" si="42"/>
        <v/>
      </c>
      <c r="AL68" s="27" t="str">
        <f>IF(OR(Data[[#This Row],[Weight]]="",Data[[#This Row],[Weight]]=0),"","exercise_weight")</f>
        <v/>
      </c>
      <c r="AM68" s="38" t="str">
        <f>IF(OR(Data[[#This Row],[Weight]]="",Data[[#This Row],[Weight]]=0),"",SUBSTITUTE(TEXT(Data[[#This Row],[Weight]],"0,0"),",","."))</f>
        <v/>
      </c>
      <c r="AN68" s="36" t="str">
        <f t="shared" si="43"/>
        <v/>
      </c>
      <c r="AO68" s="27" t="str">
        <f t="shared" si="44"/>
        <v/>
      </c>
      <c r="AP68" s="38" t="str">
        <f t="shared" si="45"/>
        <v/>
      </c>
      <c r="AQ68" s="36" t="str">
        <f t="shared" si="46"/>
        <v/>
      </c>
      <c r="AR68" s="27" t="s">
        <v>39</v>
      </c>
      <c r="AS68" s="36">
        <f>VLOOKUP(Data[[#This Row],[Duration Type]],Table_Duration_Type[],2,FALSE)</f>
        <v>5</v>
      </c>
      <c r="AT68" s="36" t="str">
        <f t="shared" si="47"/>
        <v>XXX</v>
      </c>
      <c r="AU68" s="27" t="s">
        <v>41</v>
      </c>
      <c r="AV68" s="36">
        <f>2</f>
        <v>2</v>
      </c>
      <c r="AW68" s="36" t="str">
        <f t="shared" si="48"/>
        <v>XXX</v>
      </c>
      <c r="AX68" s="27" t="s">
        <v>43</v>
      </c>
      <c r="AY68" s="36">
        <f>VLOOKUP(Data[[#This Row],[Set Type]],Table_Intensity[],2,FALSE)</f>
        <v>1</v>
      </c>
      <c r="AZ68" s="36" t="str">
        <f t="shared" si="49"/>
        <v>XXX</v>
      </c>
      <c r="BA68" s="27" t="s">
        <v>152</v>
      </c>
      <c r="BB68" s="27" t="s">
        <v>152</v>
      </c>
      <c r="BC68" s="27" t="s">
        <v>152</v>
      </c>
      <c r="BD68" s="28" t="str">
        <f>IF(Data[[#This Row],[DataCol1]]&lt;&gt;"",SUBSTITUTE(_xlfn.TEXTJOIN(",",TRUE,Data[[#This Row],[DataCol1]:[DataCol48]]),"XXX",""),"")</f>
        <v>Data,0,workout_step,target_value,0,,message_index,62,,duration_type,5,,target_type,2,,intensity,1,,,,</v>
      </c>
    </row>
    <row r="69" spans="1:56" ht="105" x14ac:dyDescent="0.25">
      <c r="A69" s="27">
        <v>64</v>
      </c>
      <c r="B69" s="42" t="s">
        <v>105</v>
      </c>
      <c r="C69" s="35" t="s">
        <v>244</v>
      </c>
      <c r="D69" s="27" t="s">
        <v>62</v>
      </c>
      <c r="E69" s="27">
        <v>8</v>
      </c>
      <c r="F69" s="27">
        <v>2</v>
      </c>
      <c r="G69" s="39" t="s">
        <v>259</v>
      </c>
      <c r="H69" s="27" t="str">
        <f t="shared" si="0"/>
        <v>Data</v>
      </c>
      <c r="I69" s="27">
        <f>0</f>
        <v>0</v>
      </c>
      <c r="J69" s="27" t="str">
        <f t="shared" si="1"/>
        <v>workout_step</v>
      </c>
      <c r="N69" s="36" t="str">
        <f>IF(VLOOKUP(Data[[#This Row],[Duration Type]],Table_Duration_Type[],3,FALSE)="/","",VLOOKUP(Data[[#This Row],[Duration Type]],Table_Duration_Type[],3,FALSE))</f>
        <v>duration_reps</v>
      </c>
      <c r="O69" s="36">
        <f>IF(N69&lt;&gt;"",IF(N69='Reference Lists'!$C$2,SUBSTITUTE(TEXT(Data[[#This Row],[Duration Value]],"0,0"),",","."),Data[[#This Row],[Duration Value]]),"")</f>
        <v>8</v>
      </c>
      <c r="P69" s="36" t="str">
        <f t="shared" si="34"/>
        <v>XXX</v>
      </c>
      <c r="Q69" s="36" t="s">
        <v>42</v>
      </c>
      <c r="R69" s="36">
        <f>0</f>
        <v>0</v>
      </c>
      <c r="S69" s="36" t="str">
        <f t="shared" si="35"/>
        <v>XXX</v>
      </c>
      <c r="Z69" s="36" t="str">
        <f t="shared" si="36"/>
        <v>notes</v>
      </c>
      <c r="AA69" s="36" t="str">
        <f>IF(Data[[#This Row],[Notes]]="","",_xlfn.CONCAT("""",SUBSTITUTE(Data[[#This Row],[Notes]],CHAR(10),"%breakline%"),""""))</f>
        <v>"Jambre gauche%breakline%%breakline%Haltère du côté travaillé%breakline%Stabiliser avec banc%breakline%Lock en haut%breakline%Inspirer en descendant%breakline%Expirer en montant"</v>
      </c>
      <c r="AB69" s="36" t="str">
        <f t="shared" si="37"/>
        <v>XXX</v>
      </c>
      <c r="AC69" s="27" t="s">
        <v>37</v>
      </c>
      <c r="AD69" s="36">
        <f>Data[[#This Row],[Step n°]]-1</f>
        <v>63</v>
      </c>
      <c r="AE69" s="36" t="str">
        <f t="shared" si="38"/>
        <v>XXX</v>
      </c>
      <c r="AF69" s="36" t="str">
        <f t="shared" si="39"/>
        <v>exercise_category</v>
      </c>
      <c r="AG69" s="36">
        <f>IF(_xlfn.IFNA(VLOOKUP(Data[[#This Row],[Exercise]],Table_Exercises[],2,FALSE),"")="","",_xlfn.IFNA(VLOOKUP(Data[[#This Row],[Exercise]],Table_Exercises[],2,FALSE),""))</f>
        <v>1</v>
      </c>
      <c r="AH69" s="36" t="str">
        <f t="shared" si="40"/>
        <v>XXX</v>
      </c>
      <c r="AI69" s="37" t="str">
        <f t="shared" si="41"/>
        <v>exercise_name</v>
      </c>
      <c r="AJ69" s="36">
        <f>_xlfn.IFNA(IF(VLOOKUP(Data[[#This Row],[Exercise]],Table_Exercises[],3,FALSE)="/","",VLOOKUP(Data[[#This Row],[Exercise]],Table_Exercises[],3,FALSE)),"")</f>
        <v>16</v>
      </c>
      <c r="AK69" s="36" t="str">
        <f t="shared" si="42"/>
        <v>XXX</v>
      </c>
      <c r="AL69" s="27" t="str">
        <f>IF(OR(Data[[#This Row],[Weight]]="",Data[[#This Row],[Weight]]=0),"","exercise_weight")</f>
        <v>exercise_weight</v>
      </c>
      <c r="AM69" s="38" t="str">
        <f>IF(OR(Data[[#This Row],[Weight]]="",Data[[#This Row],[Weight]]=0),"",SUBSTITUTE(TEXT(Data[[#This Row],[Weight]],"0,0"),",","."))</f>
        <v>2.0</v>
      </c>
      <c r="AN69" s="36" t="str">
        <f t="shared" si="43"/>
        <v>XXX</v>
      </c>
      <c r="AO69" s="27" t="str">
        <f t="shared" si="44"/>
        <v>weight_display_unit</v>
      </c>
      <c r="AP69" s="38">
        <f t="shared" si="45"/>
        <v>1</v>
      </c>
      <c r="AQ69" s="36" t="str">
        <f t="shared" si="46"/>
        <v>XXX</v>
      </c>
      <c r="AR69" s="27" t="s">
        <v>39</v>
      </c>
      <c r="AS69" s="36">
        <f>VLOOKUP(Data[[#This Row],[Duration Type]],Table_Duration_Type[],2,FALSE)</f>
        <v>29</v>
      </c>
      <c r="AT69" s="36" t="str">
        <f t="shared" si="47"/>
        <v>XXX</v>
      </c>
      <c r="AU69" s="27" t="s">
        <v>41</v>
      </c>
      <c r="AV69" s="36">
        <f>2</f>
        <v>2</v>
      </c>
      <c r="AW69" s="36" t="str">
        <f t="shared" si="48"/>
        <v>XXX</v>
      </c>
      <c r="AX69" s="27" t="s">
        <v>43</v>
      </c>
      <c r="AY69" s="36">
        <f>VLOOKUP(Data[[#This Row],[Set Type]],Table_Intensity[],2,FALSE)</f>
        <v>2</v>
      </c>
      <c r="AZ69" s="36" t="str">
        <f t="shared" si="49"/>
        <v>XXX</v>
      </c>
      <c r="BA69" s="27" t="s">
        <v>152</v>
      </c>
      <c r="BB69" s="27" t="s">
        <v>152</v>
      </c>
      <c r="BC69" s="27" t="s">
        <v>152</v>
      </c>
      <c r="BD69" s="28" t="str">
        <f>IF(Data[[#This Row],[DataCol1]]&lt;&gt;"",SUBSTITUTE(_xlfn.TEXTJOIN(",",TRUE,Data[[#This Row],[DataCol1]:[DataCol48]]),"XXX",""),"")</f>
        <v>Data,0,workout_step,duration_reps,8,,target_value,0,,notes,"Jambre gauche%breakline%%breakline%Haltère du côté travaillé%breakline%Stabiliser avec banc%breakline%Lock en haut%breakline%Inspirer en descendant%breakline%Expirer en montant",,message_index,63,,exercise_category,1,,exercise_name,16,,exercise_weight,2.0,,weight_display_unit,1,,duration_type,29,,target_type,2,,intensity,2,,,,</v>
      </c>
    </row>
    <row r="70" spans="1:56" x14ac:dyDescent="0.25">
      <c r="A70" s="27">
        <v>65</v>
      </c>
      <c r="B70" s="42" t="s">
        <v>65</v>
      </c>
      <c r="C70" s="35"/>
      <c r="D70" s="27" t="s">
        <v>79</v>
      </c>
      <c r="H70" s="27" t="str">
        <f t="shared" si="0"/>
        <v>Data</v>
      </c>
      <c r="I70" s="27">
        <f>0</f>
        <v>0</v>
      </c>
      <c r="J70" s="27" t="str">
        <f t="shared" si="1"/>
        <v>workout_step</v>
      </c>
      <c r="N70" s="36" t="str">
        <f>IF(VLOOKUP(Data[[#This Row],[Duration Type]],Table_Duration_Type[],3,FALSE)="/","",VLOOKUP(Data[[#This Row],[Duration Type]],Table_Duration_Type[],3,FALSE))</f>
        <v/>
      </c>
      <c r="O70" s="36" t="str">
        <f>IF(N70&lt;&gt;"",IF(N70='Reference Lists'!$C$2,SUBSTITUTE(TEXT(Data[[#This Row],[Duration Value]],"0,0"),",","."),Data[[#This Row],[Duration Value]]),"")</f>
        <v/>
      </c>
      <c r="P70" s="36" t="str">
        <f t="shared" si="34"/>
        <v/>
      </c>
      <c r="Q70" s="36" t="s">
        <v>42</v>
      </c>
      <c r="R70" s="36">
        <f>0</f>
        <v>0</v>
      </c>
      <c r="S70" s="36" t="str">
        <f t="shared" si="35"/>
        <v>XXX</v>
      </c>
      <c r="Z70" s="36" t="str">
        <f t="shared" si="36"/>
        <v/>
      </c>
      <c r="AA70" s="36" t="str">
        <f>IF(Data[[#This Row],[Notes]]="","",_xlfn.CONCAT("""",SUBSTITUTE(Data[[#This Row],[Notes]],CHAR(10),"%breakline%"),""""))</f>
        <v/>
      </c>
      <c r="AB70" s="36" t="str">
        <f t="shared" si="37"/>
        <v/>
      </c>
      <c r="AC70" s="27" t="s">
        <v>37</v>
      </c>
      <c r="AD70" s="36">
        <f>Data[[#This Row],[Step n°]]-1</f>
        <v>64</v>
      </c>
      <c r="AE70" s="36" t="str">
        <f t="shared" si="38"/>
        <v>XXX</v>
      </c>
      <c r="AF70" s="36" t="str">
        <f t="shared" si="39"/>
        <v/>
      </c>
      <c r="AG70" s="36" t="str">
        <f>IF(_xlfn.IFNA(VLOOKUP(Data[[#This Row],[Exercise]],Table_Exercises[],2,FALSE),"")="","",_xlfn.IFNA(VLOOKUP(Data[[#This Row],[Exercise]],Table_Exercises[],2,FALSE),""))</f>
        <v/>
      </c>
      <c r="AH70" s="36" t="str">
        <f t="shared" si="40"/>
        <v/>
      </c>
      <c r="AI70" s="37" t="str">
        <f t="shared" si="41"/>
        <v/>
      </c>
      <c r="AJ70" s="36" t="str">
        <f>_xlfn.IFNA(IF(VLOOKUP(Data[[#This Row],[Exercise]],Table_Exercises[],3,FALSE)="/","",VLOOKUP(Data[[#This Row],[Exercise]],Table_Exercises[],3,FALSE)),"")</f>
        <v/>
      </c>
      <c r="AK70" s="36" t="str">
        <f t="shared" si="42"/>
        <v/>
      </c>
      <c r="AL70" s="27" t="str">
        <f>IF(OR(Data[[#This Row],[Weight]]="",Data[[#This Row],[Weight]]=0),"","exercise_weight")</f>
        <v/>
      </c>
      <c r="AM70" s="38" t="str">
        <f>IF(OR(Data[[#This Row],[Weight]]="",Data[[#This Row],[Weight]]=0),"",SUBSTITUTE(TEXT(Data[[#This Row],[Weight]],"0,0"),",","."))</f>
        <v/>
      </c>
      <c r="AN70" s="36" t="str">
        <f t="shared" si="43"/>
        <v/>
      </c>
      <c r="AO70" s="27" t="str">
        <f t="shared" si="44"/>
        <v/>
      </c>
      <c r="AP70" s="38" t="str">
        <f t="shared" si="45"/>
        <v/>
      </c>
      <c r="AQ70" s="36" t="str">
        <f t="shared" si="46"/>
        <v/>
      </c>
      <c r="AR70" s="27" t="s">
        <v>39</v>
      </c>
      <c r="AS70" s="36">
        <f>VLOOKUP(Data[[#This Row],[Duration Type]],Table_Duration_Type[],2,FALSE)</f>
        <v>5</v>
      </c>
      <c r="AT70" s="36" t="str">
        <f t="shared" si="47"/>
        <v>XXX</v>
      </c>
      <c r="AU70" s="27" t="s">
        <v>41</v>
      </c>
      <c r="AV70" s="36">
        <f>2</f>
        <v>2</v>
      </c>
      <c r="AW70" s="36" t="str">
        <f t="shared" si="48"/>
        <v>XXX</v>
      </c>
      <c r="AX70" s="27" t="s">
        <v>43</v>
      </c>
      <c r="AY70" s="36">
        <f>VLOOKUP(Data[[#This Row],[Set Type]],Table_Intensity[],2,FALSE)</f>
        <v>1</v>
      </c>
      <c r="AZ70" s="36" t="str">
        <f t="shared" si="49"/>
        <v>XXX</v>
      </c>
      <c r="BA70" s="27" t="s">
        <v>152</v>
      </c>
      <c r="BB70" s="27" t="s">
        <v>152</v>
      </c>
      <c r="BC70" s="27" t="s">
        <v>152</v>
      </c>
      <c r="BD70" s="28" t="str">
        <f>IF(Data[[#This Row],[DataCol1]]&lt;&gt;"",SUBSTITUTE(_xlfn.TEXTJOIN(",",TRUE,Data[[#This Row],[DataCol1]:[DataCol48]]),"XXX",""),"")</f>
        <v>Data,0,workout_step,target_value,0,,message_index,64,,duration_type,5,,target_type,2,,intensity,1,,,,</v>
      </c>
    </row>
    <row r="71" spans="1:56" ht="105" x14ac:dyDescent="0.25">
      <c r="A71" s="27">
        <v>66</v>
      </c>
      <c r="B71" s="42" t="s">
        <v>64</v>
      </c>
      <c r="C71" s="35" t="s">
        <v>244</v>
      </c>
      <c r="D71" s="27" t="s">
        <v>62</v>
      </c>
      <c r="E71" s="27">
        <v>20</v>
      </c>
      <c r="F71" s="27">
        <v>4</v>
      </c>
      <c r="G71" s="39" t="s">
        <v>259</v>
      </c>
      <c r="H71" s="27" t="str">
        <f t="shared" ref="H71:H76" si="50">"Data"</f>
        <v>Data</v>
      </c>
      <c r="I71" s="27">
        <f>0</f>
        <v>0</v>
      </c>
      <c r="J71" s="27" t="str">
        <f t="shared" ref="J71:J76" si="51">"workout_step"</f>
        <v>workout_step</v>
      </c>
      <c r="N71" s="36" t="str">
        <f>IF(VLOOKUP(Data[[#This Row],[Duration Type]],Table_Duration_Type[],3,FALSE)="/","",VLOOKUP(Data[[#This Row],[Duration Type]],Table_Duration_Type[],3,FALSE))</f>
        <v>duration_reps</v>
      </c>
      <c r="O71" s="36">
        <f>IF(N71&lt;&gt;"",IF(N71='Reference Lists'!$C$2,SUBSTITUTE(TEXT(Data[[#This Row],[Duration Value]],"0,0"),",","."),Data[[#This Row],[Duration Value]]),"")</f>
        <v>20</v>
      </c>
      <c r="P71" s="36" t="str">
        <f t="shared" si="34"/>
        <v>XXX</v>
      </c>
      <c r="Q71" s="36" t="s">
        <v>42</v>
      </c>
      <c r="R71" s="36">
        <f>0</f>
        <v>0</v>
      </c>
      <c r="S71" s="36" t="str">
        <f t="shared" si="35"/>
        <v>XXX</v>
      </c>
      <c r="Z71" s="36" t="str">
        <f t="shared" si="36"/>
        <v>notes</v>
      </c>
      <c r="AA71" s="36" t="str">
        <f>IF(Data[[#This Row],[Notes]]="","",_xlfn.CONCAT("""",SUBSTITUTE(Data[[#This Row],[Notes]],CHAR(10),"%breakline%"),""""))</f>
        <v>"Jambre gauche%breakline%%breakline%Haltère du côté travaillé%breakline%Stabiliser avec banc%breakline%Lock en haut%breakline%Inspirer en descendant%breakline%Expirer en montant"</v>
      </c>
      <c r="AB71" s="36" t="str">
        <f t="shared" si="37"/>
        <v>XXX</v>
      </c>
      <c r="AC71" s="27" t="s">
        <v>37</v>
      </c>
      <c r="AD71" s="36">
        <f>Data[[#This Row],[Step n°]]-1</f>
        <v>65</v>
      </c>
      <c r="AE71" s="36" t="str">
        <f t="shared" si="38"/>
        <v>XXX</v>
      </c>
      <c r="AF71" s="36" t="str">
        <f t="shared" si="39"/>
        <v>exercise_category</v>
      </c>
      <c r="AG71" s="36">
        <f>IF(_xlfn.IFNA(VLOOKUP(Data[[#This Row],[Exercise]],Table_Exercises[],2,FALSE),"")="","",_xlfn.IFNA(VLOOKUP(Data[[#This Row],[Exercise]],Table_Exercises[],2,FALSE),""))</f>
        <v>1</v>
      </c>
      <c r="AH71" s="36" t="str">
        <f t="shared" si="40"/>
        <v>XXX</v>
      </c>
      <c r="AI71" s="37" t="str">
        <f t="shared" si="41"/>
        <v>exercise_name</v>
      </c>
      <c r="AJ71" s="36">
        <f>_xlfn.IFNA(IF(VLOOKUP(Data[[#This Row],[Exercise]],Table_Exercises[],3,FALSE)="/","",VLOOKUP(Data[[#This Row],[Exercise]],Table_Exercises[],3,FALSE)),"")</f>
        <v>16</v>
      </c>
      <c r="AK71" s="36" t="str">
        <f t="shared" si="42"/>
        <v>XXX</v>
      </c>
      <c r="AL71" s="27" t="str">
        <f>IF(OR(Data[[#This Row],[Weight]]="",Data[[#This Row],[Weight]]=0),"","exercise_weight")</f>
        <v>exercise_weight</v>
      </c>
      <c r="AM71" s="38" t="str">
        <f>IF(OR(Data[[#This Row],[Weight]]="",Data[[#This Row],[Weight]]=0),"",SUBSTITUTE(TEXT(Data[[#This Row],[Weight]],"0,0"),",","."))</f>
        <v>4.0</v>
      </c>
      <c r="AN71" s="36" t="str">
        <f t="shared" si="43"/>
        <v>XXX</v>
      </c>
      <c r="AO71" s="27" t="str">
        <f t="shared" si="44"/>
        <v>weight_display_unit</v>
      </c>
      <c r="AP71" s="38">
        <f t="shared" si="45"/>
        <v>1</v>
      </c>
      <c r="AQ71" s="36" t="str">
        <f t="shared" si="46"/>
        <v>XXX</v>
      </c>
      <c r="AR71" s="27" t="s">
        <v>39</v>
      </c>
      <c r="AS71" s="36">
        <f>VLOOKUP(Data[[#This Row],[Duration Type]],Table_Duration_Type[],2,FALSE)</f>
        <v>29</v>
      </c>
      <c r="AT71" s="36" t="str">
        <f t="shared" si="47"/>
        <v>XXX</v>
      </c>
      <c r="AU71" s="27" t="s">
        <v>41</v>
      </c>
      <c r="AV71" s="36">
        <f>2</f>
        <v>2</v>
      </c>
      <c r="AW71" s="36" t="str">
        <f t="shared" si="48"/>
        <v>XXX</v>
      </c>
      <c r="AX71" s="27" t="s">
        <v>43</v>
      </c>
      <c r="AY71" s="36">
        <f>VLOOKUP(Data[[#This Row],[Set Type]],Table_Intensity[],2,FALSE)</f>
        <v>0</v>
      </c>
      <c r="AZ71" s="36" t="str">
        <f t="shared" si="49"/>
        <v>XXX</v>
      </c>
      <c r="BA71" s="27" t="s">
        <v>152</v>
      </c>
      <c r="BB71" s="27" t="s">
        <v>152</v>
      </c>
      <c r="BC71" s="27" t="s">
        <v>152</v>
      </c>
      <c r="BD71" s="28" t="str">
        <f>IF(Data[[#This Row],[DataCol1]]&lt;&gt;"",SUBSTITUTE(_xlfn.TEXTJOIN(",",TRUE,Data[[#This Row],[DataCol1]:[DataCol48]]),"XXX",""),"")</f>
        <v>Data,0,workout_step,duration_reps,20,,target_value,0,,notes,"Jambre gauche%breakline%%breakline%Haltère du côté travaillé%breakline%Stabiliser avec banc%breakline%Lock en haut%breakline%Inspirer en descendant%breakline%Expirer en montant",,message_index,65,,exercise_category,1,,exercise_name,16,,exercise_weight,4.0,,weight_display_unit,1,,duration_type,29,,target_type,2,,intensity,0,,,,</v>
      </c>
    </row>
    <row r="72" spans="1:56" x14ac:dyDescent="0.25">
      <c r="A72" s="27">
        <v>67</v>
      </c>
      <c r="B72" s="42" t="s">
        <v>65</v>
      </c>
      <c r="C72" s="35"/>
      <c r="D72" s="27" t="s">
        <v>79</v>
      </c>
      <c r="H72" s="27" t="str">
        <f t="shared" si="50"/>
        <v>Data</v>
      </c>
      <c r="I72" s="27">
        <f>0</f>
        <v>0</v>
      </c>
      <c r="J72" s="27" t="str">
        <f t="shared" si="51"/>
        <v>workout_step</v>
      </c>
      <c r="N72" s="36" t="str">
        <f>IF(VLOOKUP(Data[[#This Row],[Duration Type]],Table_Duration_Type[],3,FALSE)="/","",VLOOKUP(Data[[#This Row],[Duration Type]],Table_Duration_Type[],3,FALSE))</f>
        <v/>
      </c>
      <c r="O72" s="36" t="str">
        <f>IF(N72&lt;&gt;"",IF(N72='Reference Lists'!$C$2,SUBSTITUTE(TEXT(Data[[#This Row],[Duration Value]],"0,0"),",","."),Data[[#This Row],[Duration Value]]),"")</f>
        <v/>
      </c>
      <c r="P72" s="36" t="str">
        <f t="shared" si="34"/>
        <v/>
      </c>
      <c r="Q72" s="36" t="s">
        <v>42</v>
      </c>
      <c r="R72" s="36">
        <f>0</f>
        <v>0</v>
      </c>
      <c r="S72" s="36" t="str">
        <f t="shared" si="35"/>
        <v>XXX</v>
      </c>
      <c r="Z72" s="36" t="str">
        <f t="shared" si="36"/>
        <v/>
      </c>
      <c r="AA72" s="36" t="str">
        <f>IF(Data[[#This Row],[Notes]]="","",_xlfn.CONCAT("""",SUBSTITUTE(Data[[#This Row],[Notes]],CHAR(10),"%breakline%"),""""))</f>
        <v/>
      </c>
      <c r="AB72" s="36" t="str">
        <f t="shared" si="37"/>
        <v/>
      </c>
      <c r="AC72" s="27" t="s">
        <v>37</v>
      </c>
      <c r="AD72" s="36">
        <f>Data[[#This Row],[Step n°]]-1</f>
        <v>66</v>
      </c>
      <c r="AE72" s="36" t="str">
        <f t="shared" si="38"/>
        <v>XXX</v>
      </c>
      <c r="AF72" s="36" t="str">
        <f t="shared" si="39"/>
        <v/>
      </c>
      <c r="AG72" s="36" t="str">
        <f>IF(_xlfn.IFNA(VLOOKUP(Data[[#This Row],[Exercise]],Table_Exercises[],2,FALSE),"")="","",_xlfn.IFNA(VLOOKUP(Data[[#This Row],[Exercise]],Table_Exercises[],2,FALSE),""))</f>
        <v/>
      </c>
      <c r="AH72" s="36" t="str">
        <f t="shared" si="40"/>
        <v/>
      </c>
      <c r="AI72" s="37" t="str">
        <f t="shared" si="41"/>
        <v/>
      </c>
      <c r="AJ72" s="36" t="str">
        <f>_xlfn.IFNA(IF(VLOOKUP(Data[[#This Row],[Exercise]],Table_Exercises[],3,FALSE)="/","",VLOOKUP(Data[[#This Row],[Exercise]],Table_Exercises[],3,FALSE)),"")</f>
        <v/>
      </c>
      <c r="AK72" s="36" t="str">
        <f t="shared" si="42"/>
        <v/>
      </c>
      <c r="AL72" s="27" t="str">
        <f>IF(OR(Data[[#This Row],[Weight]]="",Data[[#This Row],[Weight]]=0),"","exercise_weight")</f>
        <v/>
      </c>
      <c r="AM72" s="38" t="str">
        <f>IF(OR(Data[[#This Row],[Weight]]="",Data[[#This Row],[Weight]]=0),"",SUBSTITUTE(TEXT(Data[[#This Row],[Weight]],"0,0"),",","."))</f>
        <v/>
      </c>
      <c r="AN72" s="36" t="str">
        <f t="shared" si="43"/>
        <v/>
      </c>
      <c r="AO72" s="27" t="str">
        <f t="shared" si="44"/>
        <v/>
      </c>
      <c r="AP72" s="38" t="str">
        <f t="shared" si="45"/>
        <v/>
      </c>
      <c r="AQ72" s="36" t="str">
        <f t="shared" si="46"/>
        <v/>
      </c>
      <c r="AR72" s="27" t="s">
        <v>39</v>
      </c>
      <c r="AS72" s="36">
        <f>VLOOKUP(Data[[#This Row],[Duration Type]],Table_Duration_Type[],2,FALSE)</f>
        <v>5</v>
      </c>
      <c r="AT72" s="36" t="str">
        <f t="shared" si="47"/>
        <v>XXX</v>
      </c>
      <c r="AU72" s="27" t="s">
        <v>41</v>
      </c>
      <c r="AV72" s="36">
        <f>2</f>
        <v>2</v>
      </c>
      <c r="AW72" s="36" t="str">
        <f t="shared" si="48"/>
        <v>XXX</v>
      </c>
      <c r="AX72" s="27" t="s">
        <v>43</v>
      </c>
      <c r="AY72" s="36">
        <f>VLOOKUP(Data[[#This Row],[Set Type]],Table_Intensity[],2,FALSE)</f>
        <v>1</v>
      </c>
      <c r="AZ72" s="36" t="str">
        <f t="shared" si="49"/>
        <v>XXX</v>
      </c>
      <c r="BA72" s="27" t="s">
        <v>152</v>
      </c>
      <c r="BB72" s="27" t="s">
        <v>152</v>
      </c>
      <c r="BC72" s="27" t="s">
        <v>152</v>
      </c>
      <c r="BD72" s="28" t="str">
        <f>IF(Data[[#This Row],[DataCol1]]&lt;&gt;"",SUBSTITUTE(_xlfn.TEXTJOIN(",",TRUE,Data[[#This Row],[DataCol1]:[DataCol48]]),"XXX",""),"")</f>
        <v>Data,0,workout_step,target_value,0,,message_index,66,,duration_type,5,,target_type,2,,intensity,1,,,,</v>
      </c>
    </row>
    <row r="73" spans="1:56" ht="105" x14ac:dyDescent="0.25">
      <c r="A73" s="27">
        <v>68</v>
      </c>
      <c r="B73" s="42" t="s">
        <v>64</v>
      </c>
      <c r="C73" s="35" t="s">
        <v>244</v>
      </c>
      <c r="D73" s="27" t="s">
        <v>62</v>
      </c>
      <c r="E73" s="27">
        <v>20</v>
      </c>
      <c r="F73" s="27">
        <v>4</v>
      </c>
      <c r="G73" s="39" t="s">
        <v>258</v>
      </c>
      <c r="H73" s="27" t="str">
        <f t="shared" si="50"/>
        <v>Data</v>
      </c>
      <c r="I73" s="27">
        <f>0</f>
        <v>0</v>
      </c>
      <c r="J73" s="27" t="str">
        <f t="shared" si="51"/>
        <v>workout_step</v>
      </c>
      <c r="N73" s="36" t="str">
        <f>IF(VLOOKUP(Data[[#This Row],[Duration Type]],Table_Duration_Type[],3,FALSE)="/","",VLOOKUP(Data[[#This Row],[Duration Type]],Table_Duration_Type[],3,FALSE))</f>
        <v>duration_reps</v>
      </c>
      <c r="O73" s="36">
        <f>IF(N73&lt;&gt;"",IF(N73='Reference Lists'!$C$2,SUBSTITUTE(TEXT(Data[[#This Row],[Duration Value]],"0,0"),",","."),Data[[#This Row],[Duration Value]]),"")</f>
        <v>20</v>
      </c>
      <c r="P73" s="36" t="str">
        <f t="shared" ref="P73:P76" si="52">IF(O73&lt;&gt;"","XXX","")</f>
        <v>XXX</v>
      </c>
      <c r="Q73" s="36" t="s">
        <v>42</v>
      </c>
      <c r="R73" s="36">
        <f>0</f>
        <v>0</v>
      </c>
      <c r="S73" s="36" t="str">
        <f t="shared" ref="S73:S76" si="53">IF(R73&lt;&gt;"","XXX","")</f>
        <v>XXX</v>
      </c>
      <c r="Z73" s="36" t="str">
        <f t="shared" ref="Z73:Z76" si="54">IF(AA73&lt;&gt;"","notes","")</f>
        <v>notes</v>
      </c>
      <c r="AA73" s="36" t="str">
        <f>IF(Data[[#This Row],[Notes]]="","",_xlfn.CONCAT("""",SUBSTITUTE(Data[[#This Row],[Notes]],CHAR(10),"%breakline%"),""""))</f>
        <v>"Jambre droite%breakline%%breakline%Haltère du côté travaillé%breakline%Stabiliser avec banc%breakline%Lock en haut%breakline%Inspirer en descendant%breakline%Expirer en montant"</v>
      </c>
      <c r="AB73" s="36" t="str">
        <f t="shared" ref="AB73:AB76" si="55">IF(AA73&lt;&gt;"","XXX","")</f>
        <v>XXX</v>
      </c>
      <c r="AC73" s="27" t="s">
        <v>37</v>
      </c>
      <c r="AD73" s="36">
        <f>Data[[#This Row],[Step n°]]-1</f>
        <v>67</v>
      </c>
      <c r="AE73" s="36" t="str">
        <f t="shared" ref="AE73:AE76" si="56">IF(AD73&lt;&gt;"","XXX","")</f>
        <v>XXX</v>
      </c>
      <c r="AF73" s="36" t="str">
        <f t="shared" ref="AF73:AF76" si="57">IF(AG73&lt;&gt;"","exercise_category","")</f>
        <v>exercise_category</v>
      </c>
      <c r="AG73" s="36">
        <f>IF(_xlfn.IFNA(VLOOKUP(Data[[#This Row],[Exercise]],Table_Exercises[],2,FALSE),"")="","",_xlfn.IFNA(VLOOKUP(Data[[#This Row],[Exercise]],Table_Exercises[],2,FALSE),""))</f>
        <v>1</v>
      </c>
      <c r="AH73" s="36" t="str">
        <f t="shared" ref="AH73:AH76" si="58">IF(AG73&lt;&gt;"","XXX","")</f>
        <v>XXX</v>
      </c>
      <c r="AI73" s="37" t="str">
        <f t="shared" ref="AI73:AI76" si="59">IF(AJ73&lt;&gt;"","exercise_name","")</f>
        <v>exercise_name</v>
      </c>
      <c r="AJ73" s="36">
        <f>_xlfn.IFNA(IF(VLOOKUP(Data[[#This Row],[Exercise]],Table_Exercises[],3,FALSE)="/","",VLOOKUP(Data[[#This Row],[Exercise]],Table_Exercises[],3,FALSE)),"")</f>
        <v>16</v>
      </c>
      <c r="AK73" s="36" t="str">
        <f t="shared" ref="AK73:AK76" si="60">IF(AJ73&lt;&gt;"","XXX","")</f>
        <v>XXX</v>
      </c>
      <c r="AL73" s="27" t="str">
        <f>IF(OR(Data[[#This Row],[Weight]]="",Data[[#This Row],[Weight]]=0),"","exercise_weight")</f>
        <v>exercise_weight</v>
      </c>
      <c r="AM73" s="38" t="str">
        <f>IF(OR(Data[[#This Row],[Weight]]="",Data[[#This Row],[Weight]]=0),"",SUBSTITUTE(TEXT(Data[[#This Row],[Weight]],"0,0"),",","."))</f>
        <v>4.0</v>
      </c>
      <c r="AN73" s="36" t="str">
        <f t="shared" ref="AN73:AN76" si="61">IF(AM73&lt;&gt;"","XXX","")</f>
        <v>XXX</v>
      </c>
      <c r="AO73" s="27" t="str">
        <f t="shared" ref="AO73:AO76" si="62">IF(AL73&lt;&gt;"","weight_display_unit","")</f>
        <v>weight_display_unit</v>
      </c>
      <c r="AP73" s="38">
        <f t="shared" ref="AP73:AP76" si="63">IF(AL73&lt;&gt;"",1,"")</f>
        <v>1</v>
      </c>
      <c r="AQ73" s="36" t="str">
        <f t="shared" ref="AQ73:AQ76" si="64">IF(AP73&lt;&gt;"","XXX","")</f>
        <v>XXX</v>
      </c>
      <c r="AR73" s="27" t="s">
        <v>39</v>
      </c>
      <c r="AS73" s="36">
        <f>VLOOKUP(Data[[#This Row],[Duration Type]],Table_Duration_Type[],2,FALSE)</f>
        <v>29</v>
      </c>
      <c r="AT73" s="36" t="str">
        <f t="shared" ref="AT73:AT76" si="65">IF(AS73&lt;&gt;"","XXX","")</f>
        <v>XXX</v>
      </c>
      <c r="AU73" s="27" t="s">
        <v>41</v>
      </c>
      <c r="AV73" s="36">
        <f>2</f>
        <v>2</v>
      </c>
      <c r="AW73" s="36" t="str">
        <f t="shared" ref="AW73:AW76" si="66">IF(AV73&lt;&gt;"","XXX","")</f>
        <v>XXX</v>
      </c>
      <c r="AX73" s="27" t="s">
        <v>43</v>
      </c>
      <c r="AY73" s="36">
        <f>VLOOKUP(Data[[#This Row],[Set Type]],Table_Intensity[],2,FALSE)</f>
        <v>0</v>
      </c>
      <c r="AZ73" s="36" t="str">
        <f t="shared" ref="AZ73:AZ76" si="67">IF(AY73&lt;&gt;"","XXX","")</f>
        <v>XXX</v>
      </c>
      <c r="BA73" s="27" t="s">
        <v>152</v>
      </c>
      <c r="BB73" s="27" t="s">
        <v>152</v>
      </c>
      <c r="BC73" s="27" t="s">
        <v>152</v>
      </c>
      <c r="BD73" s="28" t="str">
        <f>IF(Data[[#This Row],[DataCol1]]&lt;&gt;"",SUBSTITUTE(_xlfn.TEXTJOIN(",",TRUE,Data[[#This Row],[DataCol1]:[DataCol48]]),"XXX",""),"")</f>
        <v>Data,0,workout_step,duration_reps,20,,target_value,0,,notes,"Jambre droite%breakline%%breakline%Haltère du côté travaillé%breakline%Stabiliser avec banc%breakline%Lock en haut%breakline%Inspirer en descendant%breakline%Expirer en montant",,message_index,67,,exercise_category,1,,exercise_name,16,,exercise_weight,4.0,,weight_display_unit,1,,duration_type,29,,target_type,2,,intensity,0,,,,</v>
      </c>
    </row>
    <row r="74" spans="1:56" x14ac:dyDescent="0.25">
      <c r="A74" s="27">
        <v>69</v>
      </c>
      <c r="B74" s="42" t="s">
        <v>65</v>
      </c>
      <c r="C74" s="35"/>
      <c r="D74" s="27" t="s">
        <v>61</v>
      </c>
      <c r="E74" s="27">
        <v>60</v>
      </c>
      <c r="H74" s="27" t="str">
        <f t="shared" si="50"/>
        <v>Data</v>
      </c>
      <c r="I74" s="27">
        <f>0</f>
        <v>0</v>
      </c>
      <c r="J74" s="27" t="str">
        <f t="shared" si="51"/>
        <v>workout_step</v>
      </c>
      <c r="N74" s="36" t="str">
        <f>IF(VLOOKUP(Data[[#This Row],[Duration Type]],Table_Duration_Type[],3,FALSE)="/","",VLOOKUP(Data[[#This Row],[Duration Type]],Table_Duration_Type[],3,FALSE))</f>
        <v>duration_time</v>
      </c>
      <c r="O74" s="36" t="str">
        <f>IF(N74&lt;&gt;"",IF(N74='Reference Lists'!$C$2,SUBSTITUTE(TEXT(Data[[#This Row],[Duration Value]],"0,0"),",","."),Data[[#This Row],[Duration Value]]),"")</f>
        <v>60.0</v>
      </c>
      <c r="P74" s="36" t="str">
        <f t="shared" si="52"/>
        <v>XXX</v>
      </c>
      <c r="Q74" s="36" t="s">
        <v>42</v>
      </c>
      <c r="R74" s="36">
        <f>0</f>
        <v>0</v>
      </c>
      <c r="S74" s="36" t="str">
        <f t="shared" si="53"/>
        <v>XXX</v>
      </c>
      <c r="Z74" s="36" t="str">
        <f t="shared" si="54"/>
        <v/>
      </c>
      <c r="AA74" s="36" t="str">
        <f>IF(Data[[#This Row],[Notes]]="","",_xlfn.CONCAT("""",SUBSTITUTE(Data[[#This Row],[Notes]],CHAR(10),"%breakline%"),""""))</f>
        <v/>
      </c>
      <c r="AB74" s="36" t="str">
        <f t="shared" si="55"/>
        <v/>
      </c>
      <c r="AC74" s="27" t="s">
        <v>37</v>
      </c>
      <c r="AD74" s="36">
        <f>Data[[#This Row],[Step n°]]-1</f>
        <v>68</v>
      </c>
      <c r="AE74" s="36" t="str">
        <f t="shared" si="56"/>
        <v>XXX</v>
      </c>
      <c r="AF74" s="36" t="str">
        <f t="shared" si="57"/>
        <v/>
      </c>
      <c r="AG74" s="36" t="str">
        <f>IF(_xlfn.IFNA(VLOOKUP(Data[[#This Row],[Exercise]],Table_Exercises[],2,FALSE),"")="","",_xlfn.IFNA(VLOOKUP(Data[[#This Row],[Exercise]],Table_Exercises[],2,FALSE),""))</f>
        <v/>
      </c>
      <c r="AH74" s="36" t="str">
        <f t="shared" si="58"/>
        <v/>
      </c>
      <c r="AI74" s="37" t="str">
        <f t="shared" si="59"/>
        <v/>
      </c>
      <c r="AJ74" s="36" t="str">
        <f>_xlfn.IFNA(IF(VLOOKUP(Data[[#This Row],[Exercise]],Table_Exercises[],3,FALSE)="/","",VLOOKUP(Data[[#This Row],[Exercise]],Table_Exercises[],3,FALSE)),"")</f>
        <v/>
      </c>
      <c r="AK74" s="36" t="str">
        <f t="shared" si="60"/>
        <v/>
      </c>
      <c r="AL74" s="27" t="str">
        <f>IF(OR(Data[[#This Row],[Weight]]="",Data[[#This Row],[Weight]]=0),"","exercise_weight")</f>
        <v/>
      </c>
      <c r="AM74" s="38" t="str">
        <f>IF(OR(Data[[#This Row],[Weight]]="",Data[[#This Row],[Weight]]=0),"",SUBSTITUTE(TEXT(Data[[#This Row],[Weight]],"0,0"),",","."))</f>
        <v/>
      </c>
      <c r="AN74" s="36" t="str">
        <f t="shared" si="61"/>
        <v/>
      </c>
      <c r="AO74" s="27" t="str">
        <f t="shared" si="62"/>
        <v/>
      </c>
      <c r="AP74" s="38" t="str">
        <f t="shared" si="63"/>
        <v/>
      </c>
      <c r="AQ74" s="36" t="str">
        <f t="shared" si="64"/>
        <v/>
      </c>
      <c r="AR74" s="27" t="s">
        <v>39</v>
      </c>
      <c r="AS74" s="36">
        <f>VLOOKUP(Data[[#This Row],[Duration Type]],Table_Duration_Type[],2,FALSE)</f>
        <v>0</v>
      </c>
      <c r="AT74" s="36" t="str">
        <f t="shared" si="65"/>
        <v>XXX</v>
      </c>
      <c r="AU74" s="27" t="s">
        <v>41</v>
      </c>
      <c r="AV74" s="36">
        <f>2</f>
        <v>2</v>
      </c>
      <c r="AW74" s="36" t="str">
        <f t="shared" si="66"/>
        <v>XXX</v>
      </c>
      <c r="AX74" s="27" t="s">
        <v>43</v>
      </c>
      <c r="AY74" s="36">
        <f>VLOOKUP(Data[[#This Row],[Set Type]],Table_Intensity[],2,FALSE)</f>
        <v>1</v>
      </c>
      <c r="AZ74" s="36" t="str">
        <f t="shared" si="67"/>
        <v>XXX</v>
      </c>
      <c r="BA74" s="27" t="s">
        <v>152</v>
      </c>
      <c r="BB74" s="27" t="s">
        <v>152</v>
      </c>
      <c r="BC74" s="27" t="s">
        <v>152</v>
      </c>
      <c r="BD74" s="28" t="str">
        <f>IF(Data[[#This Row],[DataCol1]]&lt;&gt;"",SUBSTITUTE(_xlfn.TEXTJOIN(",",TRUE,Data[[#This Row],[DataCol1]:[DataCol48]]),"XXX",""),"")</f>
        <v>Data,0,workout_step,duration_time,60.0,,target_value,0,,message_index,68,,duration_type,0,,target_type,2,,intensity,1,,,,</v>
      </c>
    </row>
    <row r="75" spans="1:56" ht="105" x14ac:dyDescent="0.25">
      <c r="A75" s="27">
        <v>70</v>
      </c>
      <c r="B75" s="42" t="s">
        <v>64</v>
      </c>
      <c r="C75" s="35" t="s">
        <v>244</v>
      </c>
      <c r="D75" s="27" t="s">
        <v>62</v>
      </c>
      <c r="E75" s="27">
        <v>20</v>
      </c>
      <c r="F75" s="27">
        <v>4</v>
      </c>
      <c r="G75" s="39" t="s">
        <v>259</v>
      </c>
      <c r="H75" s="27" t="str">
        <f t="shared" si="50"/>
        <v>Data</v>
      </c>
      <c r="I75" s="27">
        <f>0</f>
        <v>0</v>
      </c>
      <c r="J75" s="27" t="str">
        <f t="shared" si="51"/>
        <v>workout_step</v>
      </c>
      <c r="N75" s="36" t="str">
        <f>IF(VLOOKUP(Data[[#This Row],[Duration Type]],Table_Duration_Type[],3,FALSE)="/","",VLOOKUP(Data[[#This Row],[Duration Type]],Table_Duration_Type[],3,FALSE))</f>
        <v>duration_reps</v>
      </c>
      <c r="O75" s="36">
        <f>IF(N75&lt;&gt;"",IF(N75='Reference Lists'!$C$2,SUBSTITUTE(TEXT(Data[[#This Row],[Duration Value]],"0,0"),",","."),Data[[#This Row],[Duration Value]]),"")</f>
        <v>20</v>
      </c>
      <c r="P75" s="36" t="str">
        <f t="shared" si="52"/>
        <v>XXX</v>
      </c>
      <c r="Q75" s="36" t="s">
        <v>42</v>
      </c>
      <c r="R75" s="36">
        <f>0</f>
        <v>0</v>
      </c>
      <c r="S75" s="36" t="str">
        <f t="shared" si="53"/>
        <v>XXX</v>
      </c>
      <c r="Z75" s="36" t="str">
        <f t="shared" si="54"/>
        <v>notes</v>
      </c>
      <c r="AA75" s="36" t="str">
        <f>IF(Data[[#This Row],[Notes]]="","",_xlfn.CONCAT("""",SUBSTITUTE(Data[[#This Row],[Notes]],CHAR(10),"%breakline%"),""""))</f>
        <v>"Jambre gauche%breakline%%breakline%Haltère du côté travaillé%breakline%Stabiliser avec banc%breakline%Lock en haut%breakline%Inspirer en descendant%breakline%Expirer en montant"</v>
      </c>
      <c r="AB75" s="36" t="str">
        <f t="shared" si="55"/>
        <v>XXX</v>
      </c>
      <c r="AC75" s="27" t="s">
        <v>37</v>
      </c>
      <c r="AD75" s="36">
        <f>Data[[#This Row],[Step n°]]-1</f>
        <v>69</v>
      </c>
      <c r="AE75" s="36" t="str">
        <f t="shared" si="56"/>
        <v>XXX</v>
      </c>
      <c r="AF75" s="36" t="str">
        <f t="shared" si="57"/>
        <v>exercise_category</v>
      </c>
      <c r="AG75" s="36">
        <f>IF(_xlfn.IFNA(VLOOKUP(Data[[#This Row],[Exercise]],Table_Exercises[],2,FALSE),"")="","",_xlfn.IFNA(VLOOKUP(Data[[#This Row],[Exercise]],Table_Exercises[],2,FALSE),""))</f>
        <v>1</v>
      </c>
      <c r="AH75" s="36" t="str">
        <f t="shared" si="58"/>
        <v>XXX</v>
      </c>
      <c r="AI75" s="37" t="str">
        <f t="shared" si="59"/>
        <v>exercise_name</v>
      </c>
      <c r="AJ75" s="36">
        <f>_xlfn.IFNA(IF(VLOOKUP(Data[[#This Row],[Exercise]],Table_Exercises[],3,FALSE)="/","",VLOOKUP(Data[[#This Row],[Exercise]],Table_Exercises[],3,FALSE)),"")</f>
        <v>16</v>
      </c>
      <c r="AK75" s="36" t="str">
        <f t="shared" si="60"/>
        <v>XXX</v>
      </c>
      <c r="AL75" s="27" t="str">
        <f>IF(OR(Data[[#This Row],[Weight]]="",Data[[#This Row],[Weight]]=0),"","exercise_weight")</f>
        <v>exercise_weight</v>
      </c>
      <c r="AM75" s="38" t="str">
        <f>IF(OR(Data[[#This Row],[Weight]]="",Data[[#This Row],[Weight]]=0),"",SUBSTITUTE(TEXT(Data[[#This Row],[Weight]],"0,0"),",","."))</f>
        <v>4.0</v>
      </c>
      <c r="AN75" s="36" t="str">
        <f t="shared" si="61"/>
        <v>XXX</v>
      </c>
      <c r="AO75" s="27" t="str">
        <f t="shared" si="62"/>
        <v>weight_display_unit</v>
      </c>
      <c r="AP75" s="38">
        <f t="shared" si="63"/>
        <v>1</v>
      </c>
      <c r="AQ75" s="36" t="str">
        <f t="shared" si="64"/>
        <v>XXX</v>
      </c>
      <c r="AR75" s="27" t="s">
        <v>39</v>
      </c>
      <c r="AS75" s="36">
        <f>VLOOKUP(Data[[#This Row],[Duration Type]],Table_Duration_Type[],2,FALSE)</f>
        <v>29</v>
      </c>
      <c r="AT75" s="36" t="str">
        <f t="shared" si="65"/>
        <v>XXX</v>
      </c>
      <c r="AU75" s="27" t="s">
        <v>41</v>
      </c>
      <c r="AV75" s="36">
        <f>2</f>
        <v>2</v>
      </c>
      <c r="AW75" s="36" t="str">
        <f t="shared" si="66"/>
        <v>XXX</v>
      </c>
      <c r="AX75" s="27" t="s">
        <v>43</v>
      </c>
      <c r="AY75" s="36">
        <f>VLOOKUP(Data[[#This Row],[Set Type]],Table_Intensity[],2,FALSE)</f>
        <v>0</v>
      </c>
      <c r="AZ75" s="36" t="str">
        <f t="shared" si="67"/>
        <v>XXX</v>
      </c>
      <c r="BA75" s="27" t="s">
        <v>152</v>
      </c>
      <c r="BB75" s="27" t="s">
        <v>152</v>
      </c>
      <c r="BC75" s="27" t="s">
        <v>152</v>
      </c>
      <c r="BD75" s="28" t="str">
        <f>IF(Data[[#This Row],[DataCol1]]&lt;&gt;"",SUBSTITUTE(_xlfn.TEXTJOIN(",",TRUE,Data[[#This Row],[DataCol1]:[DataCol48]]),"XXX",""),"")</f>
        <v>Data,0,workout_step,duration_reps,20,,target_value,0,,notes,"Jambre gauche%breakline%%breakline%Haltère du côté travaillé%breakline%Stabiliser avec banc%breakline%Lock en haut%breakline%Inspirer en descendant%breakline%Expirer en montant",,message_index,69,,exercise_category,1,,exercise_name,16,,exercise_weight,4.0,,weight_display_unit,1,,duration_type,29,,target_type,2,,intensity,0,,,,</v>
      </c>
    </row>
    <row r="76" spans="1:56" x14ac:dyDescent="0.25">
      <c r="A76" s="27">
        <v>71</v>
      </c>
      <c r="B76" s="42" t="s">
        <v>65</v>
      </c>
      <c r="C76" s="35"/>
      <c r="D76" s="27" t="s">
        <v>61</v>
      </c>
      <c r="E76" s="27">
        <v>60</v>
      </c>
      <c r="H76" s="27" t="str">
        <f t="shared" si="50"/>
        <v>Data</v>
      </c>
      <c r="I76" s="27">
        <f>0</f>
        <v>0</v>
      </c>
      <c r="J76" s="27" t="str">
        <f t="shared" si="51"/>
        <v>workout_step</v>
      </c>
      <c r="N76" s="36" t="str">
        <f>IF(VLOOKUP(Data[[#This Row],[Duration Type]],Table_Duration_Type[],3,FALSE)="/","",VLOOKUP(Data[[#This Row],[Duration Type]],Table_Duration_Type[],3,FALSE))</f>
        <v>duration_time</v>
      </c>
      <c r="O76" s="36" t="str">
        <f>IF(N76&lt;&gt;"",IF(N76='Reference Lists'!$C$2,SUBSTITUTE(TEXT(Data[[#This Row],[Duration Value]],"0,0"),",","."),Data[[#This Row],[Duration Value]]),"")</f>
        <v>60.0</v>
      </c>
      <c r="P76" s="36" t="str">
        <f t="shared" si="52"/>
        <v>XXX</v>
      </c>
      <c r="Q76" s="36" t="s">
        <v>42</v>
      </c>
      <c r="R76" s="36">
        <f>0</f>
        <v>0</v>
      </c>
      <c r="S76" s="36" t="str">
        <f t="shared" si="53"/>
        <v>XXX</v>
      </c>
      <c r="Z76" s="36" t="str">
        <f t="shared" si="54"/>
        <v/>
      </c>
      <c r="AA76" s="36" t="str">
        <f>IF(Data[[#This Row],[Notes]]="","",_xlfn.CONCAT("""",SUBSTITUTE(Data[[#This Row],[Notes]],CHAR(10),"%breakline%"),""""))</f>
        <v/>
      </c>
      <c r="AB76" s="36" t="str">
        <f t="shared" si="55"/>
        <v/>
      </c>
      <c r="AC76" s="27" t="s">
        <v>37</v>
      </c>
      <c r="AD76" s="36">
        <f>Data[[#This Row],[Step n°]]-1</f>
        <v>70</v>
      </c>
      <c r="AE76" s="36" t="str">
        <f t="shared" si="56"/>
        <v>XXX</v>
      </c>
      <c r="AF76" s="36" t="str">
        <f t="shared" si="57"/>
        <v/>
      </c>
      <c r="AG76" s="36" t="str">
        <f>IF(_xlfn.IFNA(VLOOKUP(Data[[#This Row],[Exercise]],Table_Exercises[],2,FALSE),"")="","",_xlfn.IFNA(VLOOKUP(Data[[#This Row],[Exercise]],Table_Exercises[],2,FALSE),""))</f>
        <v/>
      </c>
      <c r="AH76" s="36" t="str">
        <f t="shared" si="58"/>
        <v/>
      </c>
      <c r="AI76" s="37" t="str">
        <f t="shared" si="59"/>
        <v/>
      </c>
      <c r="AJ76" s="36" t="str">
        <f>_xlfn.IFNA(IF(VLOOKUP(Data[[#This Row],[Exercise]],Table_Exercises[],3,FALSE)="/","",VLOOKUP(Data[[#This Row],[Exercise]],Table_Exercises[],3,FALSE)),"")</f>
        <v/>
      </c>
      <c r="AK76" s="36" t="str">
        <f t="shared" si="60"/>
        <v/>
      </c>
      <c r="AL76" s="27" t="str">
        <f>IF(OR(Data[[#This Row],[Weight]]="",Data[[#This Row],[Weight]]=0),"","exercise_weight")</f>
        <v/>
      </c>
      <c r="AM76" s="38" t="str">
        <f>IF(OR(Data[[#This Row],[Weight]]="",Data[[#This Row],[Weight]]=0),"",SUBSTITUTE(TEXT(Data[[#This Row],[Weight]],"0,0"),",","."))</f>
        <v/>
      </c>
      <c r="AN76" s="36" t="str">
        <f t="shared" si="61"/>
        <v/>
      </c>
      <c r="AO76" s="27" t="str">
        <f t="shared" si="62"/>
        <v/>
      </c>
      <c r="AP76" s="38" t="str">
        <f t="shared" si="63"/>
        <v/>
      </c>
      <c r="AQ76" s="36" t="str">
        <f t="shared" si="64"/>
        <v/>
      </c>
      <c r="AR76" s="27" t="s">
        <v>39</v>
      </c>
      <c r="AS76" s="36">
        <f>VLOOKUP(Data[[#This Row],[Duration Type]],Table_Duration_Type[],2,FALSE)</f>
        <v>0</v>
      </c>
      <c r="AT76" s="36" t="str">
        <f t="shared" si="65"/>
        <v>XXX</v>
      </c>
      <c r="AU76" s="27" t="s">
        <v>41</v>
      </c>
      <c r="AV76" s="36">
        <f>2</f>
        <v>2</v>
      </c>
      <c r="AW76" s="36" t="str">
        <f t="shared" si="66"/>
        <v>XXX</v>
      </c>
      <c r="AX76" s="27" t="s">
        <v>43</v>
      </c>
      <c r="AY76" s="36">
        <f>VLOOKUP(Data[[#This Row],[Set Type]],Table_Intensity[],2,FALSE)</f>
        <v>1</v>
      </c>
      <c r="AZ76" s="36" t="str">
        <f t="shared" si="67"/>
        <v>XXX</v>
      </c>
      <c r="BA76" s="27" t="s">
        <v>152</v>
      </c>
      <c r="BB76" s="27" t="s">
        <v>152</v>
      </c>
      <c r="BC76" s="27" t="s">
        <v>152</v>
      </c>
      <c r="BD76" s="28" t="str">
        <f>IF(Data[[#This Row],[DataCol1]]&lt;&gt;"",SUBSTITUTE(_xlfn.TEXTJOIN(",",TRUE,Data[[#This Row],[DataCol1]:[DataCol48]]),"XXX",""),"")</f>
        <v>Data,0,workout_step,duration_time,60.0,,target_value,0,,message_index,70,,duration_type,0,,target_type,2,,intensity,1,,,,</v>
      </c>
    </row>
  </sheetData>
  <phoneticPr fontId="18" type="noConversion"/>
  <dataValidations count="4">
    <dataValidation type="list" allowBlank="1" showErrorMessage="1" errorTitle="Invalid Entry" error="Please select an exercise from the Garmin list." sqref="C6:C76" xr:uid="{74BF0DF0-6A64-4F81-825E-A95809CF3501}">
      <formula1>INDIRECT("Table_Exercises[Exercise Name]")</formula1>
    </dataValidation>
    <dataValidation type="list" allowBlank="1" showErrorMessage="1" errorTitle="Invalid Entry" error="Please select a duration type frol the Garmin list." sqref="D6:D76" xr:uid="{C7C3B0B9-2BB4-459C-83A6-8B7A20BC3241}">
      <formula1>INDIRECT("Table_Duration_Type[Duration Type Name]")</formula1>
    </dataValidation>
    <dataValidation type="decimal" operator="greaterThanOrEqual" allowBlank="1" showInputMessage="1" showErrorMessage="1" errorTitle="Invalid Entry" error="Please, write only numbers greater than or equal to 0." sqref="E6:F76" xr:uid="{70FAAB49-EB82-4250-9E2F-B32A67CB8D26}">
      <formula1>0</formula1>
    </dataValidation>
    <dataValidation type="whole" operator="greaterThanOrEqual" allowBlank="1" showErrorMessage="1" errorTitle="Invalid Entry" error="Please write only whole numbers greater than or equal to 1." sqref="A6:A76" xr:uid="{C0B2D366-9022-4116-B47C-F8926981891E}">
      <formula1>1</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025" r:id="rId4" name="GenerateButton1">
          <controlPr defaultSize="0" autoLine="0" r:id="rId5">
            <anchor moveWithCells="1">
              <from>
                <xdr:col>2</xdr:col>
                <xdr:colOff>209550</xdr:colOff>
                <xdr:row>0</xdr:row>
                <xdr:rowOff>85725</xdr:rowOff>
              </from>
              <to>
                <xdr:col>2</xdr:col>
                <xdr:colOff>1438275</xdr:colOff>
                <xdr:row>3</xdr:row>
                <xdr:rowOff>38100</xdr:rowOff>
              </to>
            </anchor>
          </controlPr>
        </control>
      </mc:Choice>
      <mc:Fallback>
        <control shapeId="1025" r:id="rId4" name="GenerateButton1"/>
      </mc:Fallback>
    </mc:AlternateContent>
  </controls>
  <tableParts count="1">
    <tablePart r:id="rId6"/>
  </tableParts>
  <extLst>
    <ext xmlns:x14="http://schemas.microsoft.com/office/spreadsheetml/2009/9/main" uri="{CCE6A557-97BC-4b89-ADB6-D9C93CAAB3DF}">
      <x14:dataValidations xmlns:xm="http://schemas.microsoft.com/office/excel/2006/main" count="1">
        <x14:dataValidation type="list" allowBlank="1" showErrorMessage="1" errorTitle="Invalid Entry" error="Please select only set type from the Garmin list." xr:uid="{715CD8FF-E0FA-49AE-9077-44080DDC2FD1}">
          <x14:formula1>
            <xm:f>'Reference Lists'!$F$2:$F$8</xm:f>
          </x14:formula1>
          <xm:sqref>B6:B76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D01648-4193-49D3-A3FE-026D475B79A5}">
  <sheetPr codeName="Sheet2"/>
  <dimension ref="A1:BJ47"/>
  <sheetViews>
    <sheetView workbookViewId="0">
      <selection activeCell="C28" sqref="C28"/>
    </sheetView>
  </sheetViews>
  <sheetFormatPr defaultRowHeight="15" x14ac:dyDescent="0.25"/>
  <cols>
    <col min="1" max="3" width="13.42578125" bestFit="1" customWidth="1"/>
    <col min="4" max="4" width="15.28515625" bestFit="1" customWidth="1"/>
    <col min="5" max="6" width="14.42578125" bestFit="1" customWidth="1"/>
    <col min="7" max="7" width="14.5703125" bestFit="1" customWidth="1"/>
    <col min="8" max="9" width="14.42578125" bestFit="1" customWidth="1"/>
    <col min="10" max="10" width="16.140625" bestFit="1" customWidth="1"/>
    <col min="11" max="12" width="14.42578125" bestFit="1" customWidth="1"/>
    <col min="13" max="13" width="24.28515625" bestFit="1" customWidth="1"/>
    <col min="14" max="15" width="14.42578125" bestFit="1" customWidth="1"/>
    <col min="16" max="16" width="24.85546875" bestFit="1" customWidth="1"/>
    <col min="17" max="21" width="14.42578125" bestFit="1" customWidth="1"/>
    <col min="22" max="22" width="14.85546875" bestFit="1" customWidth="1"/>
    <col min="23" max="24" width="13.42578125" bestFit="1" customWidth="1"/>
    <col min="25" max="25" width="17.28515625" bestFit="1" customWidth="1"/>
    <col min="26" max="27" width="14.42578125" bestFit="1" customWidth="1"/>
    <col min="28" max="28" width="14.5703125" bestFit="1" customWidth="1"/>
    <col min="29" max="30" width="14.42578125" bestFit="1" customWidth="1"/>
    <col min="31" max="31" width="15.7109375" bestFit="1" customWidth="1"/>
    <col min="32" max="33" width="14.42578125" bestFit="1" customWidth="1"/>
    <col min="34" max="34" width="19.28515625" bestFit="1" customWidth="1"/>
    <col min="35" max="36" width="14.42578125" bestFit="1" customWidth="1"/>
    <col min="37" max="37" width="13.7109375" bestFit="1" customWidth="1"/>
    <col min="38" max="39" width="13.42578125" bestFit="1" customWidth="1"/>
    <col min="40" max="48" width="14.42578125" bestFit="1" customWidth="1"/>
    <col min="49" max="49" width="14.42578125" style="18" bestFit="1" customWidth="1"/>
    <col min="62" max="62" width="9.140625" style="18"/>
  </cols>
  <sheetData>
    <row r="1" spans="1:62" x14ac:dyDescent="0.25">
      <c r="A1" s="23" t="s">
        <v>102</v>
      </c>
      <c r="B1" s="23" t="s">
        <v>103</v>
      </c>
      <c r="C1" s="23" t="s">
        <v>121</v>
      </c>
      <c r="D1" s="23" t="s">
        <v>122</v>
      </c>
      <c r="E1" s="23" t="s">
        <v>123</v>
      </c>
      <c r="F1" s="23" t="s">
        <v>124</v>
      </c>
      <c r="G1" s="23" t="s">
        <v>125</v>
      </c>
      <c r="H1" s="23" t="s">
        <v>126</v>
      </c>
      <c r="I1" s="23" t="s">
        <v>127</v>
      </c>
      <c r="J1" s="23" t="s">
        <v>128</v>
      </c>
      <c r="K1" s="23" t="s">
        <v>129</v>
      </c>
      <c r="L1" s="23" t="s">
        <v>130</v>
      </c>
      <c r="M1" s="23" t="s">
        <v>131</v>
      </c>
      <c r="N1" s="23" t="s">
        <v>132</v>
      </c>
      <c r="O1" s="23" t="s">
        <v>133</v>
      </c>
      <c r="P1" s="23" t="s">
        <v>153</v>
      </c>
      <c r="Q1" s="23" t="s">
        <v>154</v>
      </c>
      <c r="R1" s="23" t="s">
        <v>155</v>
      </c>
      <c r="S1" s="23" t="s">
        <v>156</v>
      </c>
      <c r="T1" s="23" t="s">
        <v>157</v>
      </c>
      <c r="U1" s="23" t="s">
        <v>158</v>
      </c>
      <c r="V1" s="23" t="s">
        <v>159</v>
      </c>
      <c r="W1" s="23" t="s">
        <v>160</v>
      </c>
      <c r="X1" s="23" t="s">
        <v>161</v>
      </c>
      <c r="Y1" s="23" t="s">
        <v>162</v>
      </c>
      <c r="Z1" s="23" t="s">
        <v>163</v>
      </c>
      <c r="AA1" s="23" t="s">
        <v>164</v>
      </c>
      <c r="AB1" s="23" t="s">
        <v>165</v>
      </c>
      <c r="AC1" s="23" t="s">
        <v>166</v>
      </c>
      <c r="AD1" s="23" t="s">
        <v>167</v>
      </c>
      <c r="AE1" s="23" t="s">
        <v>168</v>
      </c>
      <c r="AF1" s="23" t="s">
        <v>169</v>
      </c>
      <c r="AG1" s="23" t="s">
        <v>170</v>
      </c>
      <c r="AH1" s="23" t="s">
        <v>171</v>
      </c>
      <c r="AI1" s="23" t="s">
        <v>172</v>
      </c>
      <c r="AJ1" s="23" t="s">
        <v>173</v>
      </c>
      <c r="AK1" s="23" t="s">
        <v>134</v>
      </c>
      <c r="AL1" s="23" t="s">
        <v>135</v>
      </c>
      <c r="AM1" s="23" t="s">
        <v>136</v>
      </c>
      <c r="AN1" s="23" t="s">
        <v>137</v>
      </c>
      <c r="AO1" s="23" t="s">
        <v>138</v>
      </c>
      <c r="AP1" s="23" t="s">
        <v>139</v>
      </c>
      <c r="AQ1" s="23" t="s">
        <v>174</v>
      </c>
      <c r="AR1" s="23" t="s">
        <v>175</v>
      </c>
      <c r="AS1" s="23" t="s">
        <v>176</v>
      </c>
      <c r="AT1" s="23" t="s">
        <v>177</v>
      </c>
      <c r="AU1" s="23" t="s">
        <v>178</v>
      </c>
      <c r="AV1" s="23" t="s">
        <v>179</v>
      </c>
      <c r="AW1" s="19" t="s">
        <v>242</v>
      </c>
    </row>
    <row r="2" spans="1:62" x14ac:dyDescent="0.25">
      <c r="A2" s="10" t="s">
        <v>0</v>
      </c>
      <c r="B2" s="10" t="s">
        <v>1</v>
      </c>
      <c r="C2" s="10" t="s">
        <v>2</v>
      </c>
      <c r="D2" s="10" t="s">
        <v>3</v>
      </c>
      <c r="E2" s="10" t="s">
        <v>4</v>
      </c>
      <c r="F2" s="10" t="s">
        <v>5</v>
      </c>
      <c r="G2" s="10" t="s">
        <v>6</v>
      </c>
      <c r="H2" s="10" t="s">
        <v>7</v>
      </c>
      <c r="I2" s="10" t="s">
        <v>8</v>
      </c>
      <c r="J2" s="10" t="s">
        <v>9</v>
      </c>
      <c r="K2" s="10" t="s">
        <v>10</v>
      </c>
      <c r="L2" s="10" t="s">
        <v>11</v>
      </c>
      <c r="M2" s="10" t="s">
        <v>12</v>
      </c>
      <c r="N2" s="10" t="s">
        <v>13</v>
      </c>
      <c r="O2" s="10" t="s">
        <v>14</v>
      </c>
      <c r="P2" s="10" t="s">
        <v>15</v>
      </c>
      <c r="Q2" s="10" t="s">
        <v>16</v>
      </c>
      <c r="R2" s="10" t="s">
        <v>17</v>
      </c>
      <c r="S2" s="10" t="s">
        <v>18</v>
      </c>
      <c r="T2" s="10" t="s">
        <v>19</v>
      </c>
      <c r="U2" s="10" t="s">
        <v>20</v>
      </c>
      <c r="V2" s="10" t="s">
        <v>21</v>
      </c>
      <c r="W2" s="10" t="s">
        <v>22</v>
      </c>
      <c r="X2" s="11" t="s">
        <v>23</v>
      </c>
      <c r="Y2" s="10" t="s">
        <v>80</v>
      </c>
      <c r="Z2" s="10" t="s">
        <v>81</v>
      </c>
      <c r="AA2" s="10" t="s">
        <v>82</v>
      </c>
      <c r="AB2" s="10" t="s">
        <v>86</v>
      </c>
      <c r="AC2" s="10" t="s">
        <v>87</v>
      </c>
      <c r="AD2" s="10" t="s">
        <v>88</v>
      </c>
      <c r="AE2" s="10" t="s">
        <v>90</v>
      </c>
      <c r="AF2" s="10" t="s">
        <v>91</v>
      </c>
      <c r="AG2" s="10" t="s">
        <v>92</v>
      </c>
      <c r="AH2" s="10" t="s">
        <v>94</v>
      </c>
      <c r="AI2" s="10" t="s">
        <v>95</v>
      </c>
      <c r="AJ2" s="12" t="s">
        <v>96</v>
      </c>
      <c r="AK2" s="10" t="s">
        <v>98</v>
      </c>
      <c r="AL2" s="10" t="s">
        <v>99</v>
      </c>
      <c r="AM2" s="12" t="s">
        <v>100</v>
      </c>
      <c r="AN2" s="10" t="s">
        <v>142</v>
      </c>
      <c r="AO2" s="10" t="s">
        <v>143</v>
      </c>
      <c r="AP2" s="12" t="s">
        <v>144</v>
      </c>
      <c r="AQ2" s="10" t="s">
        <v>145</v>
      </c>
      <c r="AR2" s="10" t="s">
        <v>146</v>
      </c>
      <c r="AS2" s="12" t="s">
        <v>147</v>
      </c>
      <c r="AT2" s="10" t="s">
        <v>149</v>
      </c>
      <c r="AU2" s="10" t="s">
        <v>150</v>
      </c>
      <c r="AV2" s="12" t="s">
        <v>151</v>
      </c>
      <c r="AW2" s="18" t="str">
        <f>IF(Header[[#This Row],[Column1]]&lt;&gt;"",SUBSTITUTE(_xlfn.TEXTJOIN(",",TRUE,Header[[#This Row],[Column1]:[Column48]]),"XXX",""),"")</f>
        <v>Type,Local Number,Message,Field 1,Value 1,Units 1,Field 2,Value 2,Units 2,Field 3,Value 3,Units 3,Field 4,Value 4,Units 4,Field 5,Value 5,Units 5,Field 6,Value 6,Units 6,Field 7,Value 7,Units 7,Field 8,Value 8,Units 8,Field 9,Value 9,Units 9,Field 10,Value 10,Units 10,Field 11,Value 11,Units 11,Field 12,Value 12,Units 12,Field 13,Value 13,Units 13,Field 14,Value 14,Units 14,Field 15,Value 15,Units 15</v>
      </c>
    </row>
    <row r="3" spans="1:62" x14ac:dyDescent="0.25">
      <c r="A3" s="15" t="s">
        <v>24</v>
      </c>
      <c r="B3" s="8">
        <f>0</f>
        <v>0</v>
      </c>
      <c r="C3" s="8" t="s">
        <v>25</v>
      </c>
      <c r="D3" s="8" t="s">
        <v>26</v>
      </c>
      <c r="E3" s="8">
        <v>1</v>
      </c>
      <c r="F3" s="5" t="str">
        <f>IF(E3&lt;&gt;"","XXX","")</f>
        <v>XXX</v>
      </c>
      <c r="G3" s="8" t="s">
        <v>27</v>
      </c>
      <c r="H3" s="8">
        <v>1</v>
      </c>
      <c r="I3" s="5" t="str">
        <f>IF(H3&lt;&gt;"","XXX","")</f>
        <v>XXX</v>
      </c>
      <c r="J3" s="8" t="s">
        <v>28</v>
      </c>
      <c r="K3" s="8">
        <v>1</v>
      </c>
      <c r="L3" s="5" t="str">
        <f>IF(K3&lt;&gt;"","XXX","")</f>
        <v>XXX</v>
      </c>
      <c r="M3" s="8" t="s">
        <v>29</v>
      </c>
      <c r="N3" s="8">
        <v>1</v>
      </c>
      <c r="O3" s="5" t="str">
        <f>IF(N3&lt;&gt;"","XXX","")</f>
        <v>XXX</v>
      </c>
      <c r="P3" s="8" t="s">
        <v>30</v>
      </c>
      <c r="Q3" s="8">
        <v>1</v>
      </c>
      <c r="R3" s="5" t="str">
        <f>IF(Q3&lt;&gt;"","XXX","")</f>
        <v>XXX</v>
      </c>
      <c r="S3" s="8"/>
      <c r="T3" s="8"/>
      <c r="U3" s="8"/>
      <c r="V3" s="2"/>
      <c r="W3" s="2"/>
      <c r="X3" s="2"/>
      <c r="Y3" s="8"/>
      <c r="Z3" s="8"/>
      <c r="AA3" s="8"/>
      <c r="AB3" s="8"/>
      <c r="AC3" s="8"/>
      <c r="AD3" s="8"/>
      <c r="AE3" s="8"/>
      <c r="AF3" s="8"/>
      <c r="AG3" s="8"/>
      <c r="AH3" s="8"/>
      <c r="AI3" s="8"/>
      <c r="AJ3" s="8"/>
      <c r="AK3" s="2"/>
      <c r="AL3" s="2"/>
      <c r="AM3" s="2"/>
      <c r="AN3" s="2"/>
      <c r="AO3" s="2"/>
      <c r="AP3" s="2"/>
      <c r="AQ3" s="2"/>
      <c r="AR3" s="2"/>
      <c r="AS3" s="2"/>
      <c r="AT3" s="1"/>
      <c r="AU3" s="1"/>
      <c r="AV3" s="1"/>
      <c r="AW3" s="18" t="str">
        <f>IF(Header[[#This Row],[Column1]]&lt;&gt;"",SUBSTITUTE(_xlfn.TEXTJOIN(",",TRUE,Header[[#This Row],[Column1]:[Column48]]),"XXX",""),"")</f>
        <v>Definition,0,file_id,type,1,,manufacturer,1,,product,1,,serial_number,1,,time_created,1,</v>
      </c>
    </row>
    <row r="4" spans="1:62" x14ac:dyDescent="0.25">
      <c r="A4" s="15" t="s">
        <v>31</v>
      </c>
      <c r="B4" s="7">
        <f>0</f>
        <v>0</v>
      </c>
      <c r="C4" s="7" t="s">
        <v>25</v>
      </c>
      <c r="D4" s="7" t="s">
        <v>26</v>
      </c>
      <c r="E4" s="7">
        <f>5</f>
        <v>5</v>
      </c>
      <c r="F4" s="5" t="str">
        <f>IF(E4&lt;&gt;"","XXX","")</f>
        <v>XXX</v>
      </c>
      <c r="G4" s="7" t="s">
        <v>27</v>
      </c>
      <c r="H4" s="7">
        <v>1</v>
      </c>
      <c r="I4" s="5" t="str">
        <f>IF(H4&lt;&gt;"","XXX","")</f>
        <v>XXX</v>
      </c>
      <c r="J4" s="7" t="s">
        <v>32</v>
      </c>
      <c r="K4" s="7">
        <v>65534</v>
      </c>
      <c r="L4" s="5" t="str">
        <f>IF(K4&lt;&gt;"","XXX","")</f>
        <v>XXX</v>
      </c>
      <c r="M4" s="7" t="s">
        <v>29</v>
      </c>
      <c r="N4" s="7">
        <v>1234</v>
      </c>
      <c r="O4" s="5" t="str">
        <f>IF(N4&lt;&gt;"","XXX","")</f>
        <v>XXX</v>
      </c>
      <c r="P4" s="7" t="s">
        <v>30</v>
      </c>
      <c r="Q4" s="16">
        <f ca="1">('Data Input'!B2-DATE(1970,1,1))*86400-631065600</f>
        <v>1053713641.1699998</v>
      </c>
      <c r="R4" s="5" t="str">
        <f t="shared" ref="R4:R7" ca="1" si="0">IF(Q4&lt;&gt;"","XXX","")</f>
        <v>XXX</v>
      </c>
      <c r="S4" s="7"/>
      <c r="T4" s="7"/>
      <c r="U4" s="7"/>
      <c r="V4" s="2"/>
      <c r="W4" s="2"/>
      <c r="X4" s="2"/>
      <c r="Y4" s="7"/>
      <c r="Z4" s="7"/>
      <c r="AA4" s="7"/>
      <c r="AB4" s="7"/>
      <c r="AC4" s="7"/>
      <c r="AD4" s="7"/>
      <c r="AE4" s="7"/>
      <c r="AF4" s="7"/>
      <c r="AG4" s="7"/>
      <c r="AH4" s="7"/>
      <c r="AI4" s="7"/>
      <c r="AJ4" s="7"/>
      <c r="AK4" s="2"/>
      <c r="AL4" s="2"/>
      <c r="AM4" s="2"/>
      <c r="AN4" s="2"/>
      <c r="AO4" s="2"/>
      <c r="AP4" s="2"/>
      <c r="AQ4" s="2"/>
      <c r="AR4" s="2"/>
      <c r="AS4" s="2"/>
      <c r="AT4" s="1"/>
      <c r="AU4" s="1"/>
      <c r="AV4" s="1"/>
      <c r="AW4" s="18" t="str">
        <f ca="1">IF(Header[[#This Row],[Column1]]&lt;&gt;"",SUBSTITUTE(_xlfn.TEXTJOIN(",",TRUE,Header[[#This Row],[Column1]:[Column48]]),"XXX",""),"")</f>
        <v>Data,0,file_id,type,5,,manufacturer,1,,garmin_product,65534,,serial_number,1234,,time_created,1053713641,17,</v>
      </c>
    </row>
    <row r="5" spans="1:62" x14ac:dyDescent="0.25">
      <c r="A5" s="15" t="s">
        <v>24</v>
      </c>
      <c r="B5" s="8">
        <f>0</f>
        <v>0</v>
      </c>
      <c r="C5" s="8" t="s">
        <v>33</v>
      </c>
      <c r="D5" s="8" t="s">
        <v>55</v>
      </c>
      <c r="E5" s="8">
        <v>1</v>
      </c>
      <c r="F5" s="5" t="str">
        <f>IF(E5&lt;&gt;"","XXX","")</f>
        <v>XXX</v>
      </c>
      <c r="G5" s="8" t="s">
        <v>34</v>
      </c>
      <c r="H5" s="8">
        <v>10</v>
      </c>
      <c r="I5" s="5" t="str">
        <f>IF(H5&lt;&gt;"","XXX","")</f>
        <v>XXX</v>
      </c>
      <c r="J5" s="8" t="s">
        <v>35</v>
      </c>
      <c r="K5" s="8">
        <v>1</v>
      </c>
      <c r="L5" s="5" t="str">
        <f>IF(K5&lt;&gt;"","XXX","")</f>
        <v>XXX</v>
      </c>
      <c r="M5" s="8" t="s">
        <v>53</v>
      </c>
      <c r="N5" s="8">
        <v>1</v>
      </c>
      <c r="O5" s="5" t="str">
        <f>IF(N5&lt;&gt;"","XXX","")</f>
        <v>XXX</v>
      </c>
      <c r="P5" s="8" t="s">
        <v>54</v>
      </c>
      <c r="Q5" s="8">
        <v>1</v>
      </c>
      <c r="R5" s="5" t="str">
        <f t="shared" si="0"/>
        <v>XXX</v>
      </c>
      <c r="S5" s="8"/>
      <c r="T5" s="8"/>
      <c r="U5" s="8"/>
      <c r="V5" s="2"/>
      <c r="W5" s="2"/>
      <c r="X5" s="2"/>
      <c r="Y5" s="8"/>
      <c r="Z5" s="8"/>
      <c r="AA5" s="8"/>
      <c r="AB5" s="8"/>
      <c r="AC5" s="8"/>
      <c r="AD5" s="8"/>
      <c r="AE5" s="8"/>
      <c r="AF5" s="8"/>
      <c r="AG5" s="8"/>
      <c r="AH5" s="8"/>
      <c r="AI5" s="8"/>
      <c r="AJ5" s="8"/>
      <c r="AK5" s="2"/>
      <c r="AL5" s="2"/>
      <c r="AM5" s="2"/>
      <c r="AN5" s="2"/>
      <c r="AO5" s="2"/>
      <c r="AP5" s="2"/>
      <c r="AQ5" s="2"/>
      <c r="AR5" s="2"/>
      <c r="AS5" s="2"/>
      <c r="AT5" s="1"/>
      <c r="AU5" s="1"/>
      <c r="AV5" s="1"/>
      <c r="AW5" s="18" t="str">
        <f>IF(Header[[#This Row],[Column1]]&lt;&gt;"",SUBSTITUTE(_xlfn.TEXTJOIN(",",TRUE,Header[[#This Row],[Column1]:[Column48]]),"XXX",""),"")</f>
        <v>Definition,0,workout,capabilities,1,,wkt_name,10,,num_valid_steps,1,,sport,1,,sub_sport,1,</v>
      </c>
    </row>
    <row r="6" spans="1:62" x14ac:dyDescent="0.25">
      <c r="A6" s="15" t="s">
        <v>31</v>
      </c>
      <c r="B6" s="7">
        <f>0</f>
        <v>0</v>
      </c>
      <c r="C6" s="7" t="s">
        <v>33</v>
      </c>
      <c r="D6" s="7" t="s">
        <v>55</v>
      </c>
      <c r="E6" s="7">
        <v>32</v>
      </c>
      <c r="F6" s="5" t="str">
        <f>IF(E6&lt;&gt;"","XXX","")</f>
        <v>XXX</v>
      </c>
      <c r="G6" s="7" t="s">
        <v>34</v>
      </c>
      <c r="H6" s="13" t="str">
        <f>'Data Input'!B1</f>
        <v>FullBody - Beginner - A</v>
      </c>
      <c r="I6" s="5" t="str">
        <f>IF(H6&lt;&gt;"","XXX","")</f>
        <v>XXX</v>
      </c>
      <c r="J6" s="7" t="s">
        <v>35</v>
      </c>
      <c r="K6" s="13">
        <f>COUNTA('Data Input'!H6:H1048576)</f>
        <v>71</v>
      </c>
      <c r="L6" s="5" t="str">
        <f>IF(K6&lt;&gt;"","XXX","")</f>
        <v>XXX</v>
      </c>
      <c r="M6" s="7" t="s">
        <v>53</v>
      </c>
      <c r="N6" s="7">
        <f>10</f>
        <v>10</v>
      </c>
      <c r="O6" s="5" t="str">
        <f>IF(N6&lt;&gt;"","XXX","")</f>
        <v>XXX</v>
      </c>
      <c r="P6" s="7" t="s">
        <v>54</v>
      </c>
      <c r="Q6" s="7">
        <f>20</f>
        <v>20</v>
      </c>
      <c r="R6" s="5" t="str">
        <f t="shared" si="0"/>
        <v>XXX</v>
      </c>
      <c r="S6" s="7"/>
      <c r="T6" s="7"/>
      <c r="U6" s="7"/>
      <c r="V6" s="2"/>
      <c r="W6" s="2"/>
      <c r="X6" s="2"/>
      <c r="Y6" s="7"/>
      <c r="Z6" s="7"/>
      <c r="AA6" s="7"/>
      <c r="AB6" s="7"/>
      <c r="AC6" s="7"/>
      <c r="AD6" s="7"/>
      <c r="AE6" s="7"/>
      <c r="AF6" s="7"/>
      <c r="AG6" s="7"/>
      <c r="AH6" s="7"/>
      <c r="AI6" s="7"/>
      <c r="AJ6" s="7"/>
      <c r="AK6" s="2"/>
      <c r="AL6" s="2"/>
      <c r="AM6" s="2"/>
      <c r="AN6" s="2"/>
      <c r="AO6" s="2"/>
      <c r="AP6" s="2"/>
      <c r="AQ6" s="2"/>
      <c r="AR6" s="2"/>
      <c r="AS6" s="2"/>
      <c r="AT6" s="1"/>
      <c r="AU6" s="1"/>
      <c r="AV6" s="1"/>
      <c r="AW6" s="18" t="str">
        <f>IF(Header[[#This Row],[Column1]]&lt;&gt;"",SUBSTITUTE(_xlfn.TEXTJOIN(",",TRUE,Header[[#This Row],[Column1]:[Column48]]),"XXX",""),"")</f>
        <v>Data,0,workout,capabilities,32,,wkt_name,FullBody - Beginner - A,,num_valid_steps,71,,sport,10,,sub_sport,20,</v>
      </c>
    </row>
    <row r="7" spans="1:62" x14ac:dyDescent="0.25">
      <c r="A7" s="14" t="s">
        <v>24</v>
      </c>
      <c r="B7" s="9">
        <f>0</f>
        <v>0</v>
      </c>
      <c r="C7" s="14" t="s">
        <v>36</v>
      </c>
      <c r="D7" s="14" t="s">
        <v>38</v>
      </c>
      <c r="E7" s="14">
        <v>16</v>
      </c>
      <c r="F7" s="5" t="str">
        <f>IF(E7&lt;&gt;"","XXX","")</f>
        <v>XXX</v>
      </c>
      <c r="G7" s="14" t="s">
        <v>40</v>
      </c>
      <c r="H7" s="14">
        <v>1</v>
      </c>
      <c r="I7" s="5" t="str">
        <f>IF(H7&lt;&gt;"","XXX","")</f>
        <v>XXX</v>
      </c>
      <c r="J7" s="14" t="s">
        <v>42</v>
      </c>
      <c r="K7" s="14">
        <v>1</v>
      </c>
      <c r="L7" s="5" t="str">
        <f>IF(K7&lt;&gt;"","XXX","")</f>
        <v>XXX</v>
      </c>
      <c r="M7" s="14" t="s">
        <v>140</v>
      </c>
      <c r="N7" s="14">
        <v>1</v>
      </c>
      <c r="O7" s="5" t="str">
        <f>IF(N7&lt;&gt;"","XXX","")</f>
        <v>XXX</v>
      </c>
      <c r="P7" s="14" t="s">
        <v>141</v>
      </c>
      <c r="Q7" s="14">
        <v>1</v>
      </c>
      <c r="R7" s="5" t="str">
        <f t="shared" si="0"/>
        <v>XXX</v>
      </c>
      <c r="S7" s="14" t="s">
        <v>83</v>
      </c>
      <c r="T7" s="14">
        <v>200</v>
      </c>
      <c r="U7" s="5" t="str">
        <f>IF(T7&lt;&gt;"","XXX","")</f>
        <v>XXX</v>
      </c>
      <c r="V7" s="14" t="s">
        <v>37</v>
      </c>
      <c r="W7" s="14">
        <v>1</v>
      </c>
      <c r="X7" s="5" t="str">
        <f>IF(W7&lt;&gt;"","XXX","")</f>
        <v>XXX</v>
      </c>
      <c r="Y7" s="14" t="s">
        <v>89</v>
      </c>
      <c r="Z7" s="14">
        <v>1</v>
      </c>
      <c r="AA7" s="5" t="str">
        <f>IF(Z7&lt;&gt;"","XXX","")</f>
        <v>XXX</v>
      </c>
      <c r="AB7" s="14" t="s">
        <v>93</v>
      </c>
      <c r="AC7" s="14">
        <v>1</v>
      </c>
      <c r="AD7" s="5" t="str">
        <f>IF(AC7&lt;&gt;"","XXX","")</f>
        <v>XXX</v>
      </c>
      <c r="AE7" s="14" t="s">
        <v>97</v>
      </c>
      <c r="AF7" s="14">
        <v>1</v>
      </c>
      <c r="AG7" s="5" t="str">
        <f>IF(AF7&lt;&gt;"","XXX","")</f>
        <v>XXX</v>
      </c>
      <c r="AH7" s="14" t="s">
        <v>101</v>
      </c>
      <c r="AI7" s="14">
        <v>1</v>
      </c>
      <c r="AJ7" s="5" t="str">
        <f>IF(AI7&lt;&gt;"","XXX","")</f>
        <v>XXX</v>
      </c>
      <c r="AK7" s="14" t="s">
        <v>39</v>
      </c>
      <c r="AL7" s="14">
        <v>1</v>
      </c>
      <c r="AM7" s="5" t="str">
        <f>IF(AL7&lt;&gt;"","XXX","")</f>
        <v>XXX</v>
      </c>
      <c r="AN7" s="14" t="s">
        <v>41</v>
      </c>
      <c r="AO7" s="14">
        <v>1</v>
      </c>
      <c r="AP7" s="5" t="str">
        <f>IF(AO7&lt;&gt;"","XXX","")</f>
        <v>XXX</v>
      </c>
      <c r="AQ7" s="14" t="s">
        <v>43</v>
      </c>
      <c r="AR7" s="14">
        <v>1</v>
      </c>
      <c r="AS7" s="5" t="str">
        <f>IF(AR7&lt;&gt;"","XXX","")</f>
        <v>XXX</v>
      </c>
      <c r="AT7" s="2" t="s">
        <v>148</v>
      </c>
      <c r="AU7" s="1">
        <v>1</v>
      </c>
      <c r="AV7" s="5" t="str">
        <f>IF(AU7&lt;&gt;"","XXX","")</f>
        <v>XXX</v>
      </c>
      <c r="AW7" s="18" t="str">
        <f>IF(Header[[#This Row],[Column1]]&lt;&gt;"",SUBSTITUTE(_xlfn.TEXTJOIN(",",TRUE,Header[[#This Row],[Column1]:[Column48]]),"XXX",""),"")</f>
        <v>Definition,0,workout_step,wkt_step_name,16,,duration_value,1,,target_value,1,,custom_target_value_low,1,,custom_target_value_high,1,,notes,200,,message_index,1,,exercise_category,1,,exercise_name,1,,exercise_weight,1,,weight_display_unit,1,,duration_type,1,,target_type,1,,intensity,1,,equipment,1,</v>
      </c>
    </row>
    <row r="10" spans="1:62" x14ac:dyDescent="0.25">
      <c r="A10" s="17"/>
      <c r="B10" s="17"/>
      <c r="C10" s="17"/>
      <c r="D10" s="17"/>
      <c r="E10" s="17"/>
      <c r="F10" s="17"/>
      <c r="G10" s="17"/>
      <c r="H10" s="17"/>
      <c r="I10" s="17"/>
      <c r="J10" s="17"/>
      <c r="K10" s="17"/>
      <c r="L10" s="17"/>
      <c r="M10" s="17"/>
      <c r="N10" s="17"/>
      <c r="O10" s="17"/>
      <c r="P10" s="17"/>
      <c r="Q10" s="17"/>
      <c r="R10" s="17"/>
      <c r="S10" s="17"/>
      <c r="T10" s="17"/>
      <c r="U10" s="17"/>
      <c r="V10" s="17"/>
      <c r="W10" s="17"/>
      <c r="X10" s="17"/>
      <c r="Y10" s="17"/>
      <c r="Z10" s="17"/>
      <c r="AA10" s="17"/>
      <c r="AB10" s="17"/>
      <c r="AC10" s="17"/>
      <c r="AD10" s="17"/>
      <c r="AE10" s="17"/>
      <c r="AF10" s="17"/>
      <c r="AG10" s="17"/>
      <c r="AH10" s="17"/>
      <c r="AI10" s="17"/>
      <c r="AJ10" s="17"/>
      <c r="AK10" s="17"/>
      <c r="AL10" s="17"/>
      <c r="AM10" s="17"/>
      <c r="AN10" s="17"/>
      <c r="AO10" s="17"/>
      <c r="AP10" s="17"/>
      <c r="AQ10" s="17"/>
      <c r="AR10" s="17"/>
      <c r="AS10" s="17"/>
      <c r="AT10" s="17"/>
      <c r="AU10" s="17"/>
      <c r="AV10" s="17"/>
      <c r="AW10" s="20"/>
      <c r="AX10" s="17"/>
      <c r="AY10" s="17"/>
      <c r="AZ10" s="17"/>
      <c r="BA10" s="17"/>
      <c r="BB10" s="17"/>
      <c r="BC10" s="17"/>
      <c r="BD10" s="17"/>
      <c r="BE10" s="17"/>
      <c r="BF10" s="17"/>
      <c r="BG10" s="17"/>
      <c r="BH10" s="17"/>
      <c r="BI10" s="17"/>
    </row>
    <row r="13" spans="1:62" x14ac:dyDescent="0.25">
      <c r="A13" s="21" t="s">
        <v>102</v>
      </c>
      <c r="B13" s="21" t="s">
        <v>103</v>
      </c>
      <c r="C13" s="21" t="s">
        <v>121</v>
      </c>
      <c r="D13" s="21" t="s">
        <v>122</v>
      </c>
      <c r="E13" s="21" t="s">
        <v>123</v>
      </c>
      <c r="F13" s="21" t="s">
        <v>124</v>
      </c>
      <c r="G13" s="21" t="s">
        <v>125</v>
      </c>
      <c r="H13" s="21" t="s">
        <v>126</v>
      </c>
      <c r="I13" s="21" t="s">
        <v>127</v>
      </c>
      <c r="J13" s="21" t="s">
        <v>128</v>
      </c>
      <c r="K13" s="21" t="s">
        <v>129</v>
      </c>
      <c r="L13" s="21" t="s">
        <v>130</v>
      </c>
      <c r="M13" s="21" t="s">
        <v>131</v>
      </c>
      <c r="N13" s="21" t="s">
        <v>132</v>
      </c>
      <c r="O13" s="21" t="s">
        <v>133</v>
      </c>
      <c r="P13" s="21" t="s">
        <v>153</v>
      </c>
      <c r="Q13" s="21" t="s">
        <v>154</v>
      </c>
      <c r="R13" s="21" t="s">
        <v>155</v>
      </c>
      <c r="S13" s="21" t="s">
        <v>156</v>
      </c>
      <c r="T13" s="21" t="s">
        <v>157</v>
      </c>
      <c r="U13" s="21" t="s">
        <v>158</v>
      </c>
      <c r="V13" s="21" t="s">
        <v>159</v>
      </c>
      <c r="W13" s="21" t="s">
        <v>160</v>
      </c>
      <c r="X13" s="21" t="s">
        <v>161</v>
      </c>
      <c r="Y13" s="21" t="s">
        <v>162</v>
      </c>
      <c r="Z13" s="21" t="s">
        <v>163</v>
      </c>
      <c r="AA13" s="21" t="s">
        <v>164</v>
      </c>
      <c r="AB13" s="21" t="s">
        <v>165</v>
      </c>
      <c r="AC13" s="21" t="s">
        <v>166</v>
      </c>
      <c r="AD13" s="21" t="s">
        <v>167</v>
      </c>
      <c r="AE13" s="21" t="s">
        <v>168</v>
      </c>
      <c r="AF13" s="21" t="s">
        <v>169</v>
      </c>
      <c r="AG13" s="21" t="s">
        <v>170</v>
      </c>
      <c r="AH13" s="21" t="s">
        <v>171</v>
      </c>
      <c r="AI13" s="21" t="s">
        <v>172</v>
      </c>
      <c r="AJ13" s="21" t="s">
        <v>173</v>
      </c>
      <c r="AK13" s="21" t="s">
        <v>134</v>
      </c>
      <c r="AL13" s="21" t="s">
        <v>135</v>
      </c>
      <c r="AM13" s="21" t="s">
        <v>136</v>
      </c>
      <c r="AN13" s="21" t="s">
        <v>137</v>
      </c>
      <c r="AO13" s="21" t="s">
        <v>138</v>
      </c>
      <c r="AP13" s="21" t="s">
        <v>139</v>
      </c>
      <c r="AQ13" s="21" t="s">
        <v>174</v>
      </c>
      <c r="AR13" s="21" t="s">
        <v>175</v>
      </c>
      <c r="AS13" s="21" t="s">
        <v>176</v>
      </c>
      <c r="AT13" s="21" t="s">
        <v>177</v>
      </c>
      <c r="AU13" s="21" t="s">
        <v>178</v>
      </c>
      <c r="AV13" s="21" t="s">
        <v>179</v>
      </c>
      <c r="AW13" s="22" t="s">
        <v>229</v>
      </c>
      <c r="AX13" s="21" t="s">
        <v>230</v>
      </c>
      <c r="AY13" s="21" t="s">
        <v>231</v>
      </c>
      <c r="AZ13" s="21" t="s">
        <v>232</v>
      </c>
      <c r="BA13" s="21" t="s">
        <v>233</v>
      </c>
      <c r="BB13" s="21" t="s">
        <v>234</v>
      </c>
      <c r="BC13" s="21" t="s">
        <v>235</v>
      </c>
      <c r="BD13" s="21" t="s">
        <v>236</v>
      </c>
      <c r="BE13" s="21" t="s">
        <v>237</v>
      </c>
      <c r="BF13" s="21" t="s">
        <v>238</v>
      </c>
      <c r="BG13" s="21" t="s">
        <v>239</v>
      </c>
      <c r="BH13" s="21" t="s">
        <v>240</v>
      </c>
      <c r="BI13" s="21" t="s">
        <v>241</v>
      </c>
      <c r="BJ13" s="6" t="s">
        <v>242</v>
      </c>
    </row>
    <row r="14" spans="1:62" x14ac:dyDescent="0.25">
      <c r="A14" s="2" t="s">
        <v>24</v>
      </c>
      <c r="B14" s="2">
        <v>0</v>
      </c>
      <c r="C14" s="2" t="s">
        <v>228</v>
      </c>
      <c r="D14" s="2" t="s">
        <v>38</v>
      </c>
      <c r="E14" s="2">
        <v>200</v>
      </c>
      <c r="F14" s="2" t="str">
        <f>IF(Footer[[#This Row],[Column5]]&lt;&gt;"","XXX","")</f>
        <v>XXX</v>
      </c>
      <c r="G14" s="2" t="s">
        <v>37</v>
      </c>
      <c r="H14" s="2">
        <v>1</v>
      </c>
      <c r="I14" s="2" t="str">
        <f>IF(Footer[[#This Row],[Column8]]&lt;&gt;"","XXX","")</f>
        <v>XXX</v>
      </c>
      <c r="J14" s="2" t="s">
        <v>89</v>
      </c>
      <c r="K14" s="2">
        <v>1</v>
      </c>
      <c r="L14" s="2" t="str">
        <f>IF(Footer[[#This Row],[Column11]]&lt;&gt;"","XXX","")</f>
        <v>XXX</v>
      </c>
      <c r="M14" s="2" t="s">
        <v>93</v>
      </c>
      <c r="N14" s="2">
        <v>1</v>
      </c>
      <c r="O14" s="2" t="str">
        <f>IF(Footer[[#This Row],[Column8]]&lt;&gt;"","XXX","")</f>
        <v>XXX</v>
      </c>
      <c r="P14" s="2" t="str">
        <f>IF(Footer[[#This Row],[Column9]]&lt;&gt;"","XXX","")</f>
        <v>XXX</v>
      </c>
      <c r="Q14" s="2" t="str">
        <f>IF(Footer[[#This Row],[Column10]]&lt;&gt;"","XXX","")</f>
        <v>XXX</v>
      </c>
      <c r="R14" s="2" t="str">
        <f>IF(Footer[[#This Row],[Column11]]&lt;&gt;"","XXX","")</f>
        <v>XXX</v>
      </c>
      <c r="S14" s="2" t="str">
        <f>IF(Footer[[#This Row],[Column12]]&lt;&gt;"","XXX","")</f>
        <v>XXX</v>
      </c>
      <c r="T14" s="2" t="str">
        <f>IF(Footer[[#This Row],[Column13]]&lt;&gt;"","XXX","")</f>
        <v>XXX</v>
      </c>
      <c r="U14" s="2" t="str">
        <f>IF(Footer[[#This Row],[Column14]]&lt;&gt;"","XXX","")</f>
        <v>XXX</v>
      </c>
      <c r="V14" s="2" t="str">
        <f>IF(Footer[[#This Row],[Column15]]&lt;&gt;"","XXX","")</f>
        <v>XXX</v>
      </c>
      <c r="W14" s="2" t="str">
        <f>IF(Footer[[#This Row],[Column16]]&lt;&gt;"","XXX","")</f>
        <v>XXX</v>
      </c>
      <c r="X14" s="2" t="str">
        <f>IF(Footer[[#This Row],[Column17]]&lt;&gt;"","XXX","")</f>
        <v>XXX</v>
      </c>
      <c r="Y14" s="2" t="str">
        <f>IF(Footer[[#This Row],[Column18]]&lt;&gt;"","XXX","")</f>
        <v>XXX</v>
      </c>
      <c r="Z14" s="2" t="str">
        <f>IF(Footer[[#This Row],[Column19]]&lt;&gt;"","XXX","")</f>
        <v>XXX</v>
      </c>
      <c r="AA14" s="2" t="str">
        <f>IF(Footer[[#This Row],[Column20]]&lt;&gt;"","XXX","")</f>
        <v>XXX</v>
      </c>
      <c r="AB14" s="2" t="str">
        <f>IF(Footer[[#This Row],[Column21]]&lt;&gt;"","XXX","")</f>
        <v>XXX</v>
      </c>
      <c r="AC14" s="2" t="str">
        <f>IF(Footer[[#This Row],[Column22]]&lt;&gt;"","XXX","")</f>
        <v>XXX</v>
      </c>
      <c r="AD14" s="2" t="str">
        <f>IF(Footer[[#This Row],[Column23]]&lt;&gt;"","XXX","")</f>
        <v>XXX</v>
      </c>
      <c r="AE14" s="2" t="str">
        <f>IF(Footer[[#This Row],[Column24]]&lt;&gt;"","XXX","")</f>
        <v>XXX</v>
      </c>
      <c r="AF14" s="2" t="str">
        <f>IF(Footer[[#This Row],[Column25]]&lt;&gt;"","XXX","")</f>
        <v>XXX</v>
      </c>
      <c r="AG14" s="2" t="str">
        <f>IF(Footer[[#This Row],[Column26]]&lt;&gt;"","XXX","")</f>
        <v>XXX</v>
      </c>
      <c r="AH14" s="2" t="str">
        <f>IF(Footer[[#This Row],[Column27]]&lt;&gt;"","XXX","")</f>
        <v>XXX</v>
      </c>
      <c r="AI14" s="2" t="str">
        <f>IF(Footer[[#This Row],[Column28]]&lt;&gt;"","XXX","")</f>
        <v>XXX</v>
      </c>
      <c r="AJ14" s="2" t="str">
        <f>IF(Footer[[#This Row],[Column29]]&lt;&gt;"","XXX","")</f>
        <v>XXX</v>
      </c>
      <c r="AK14" s="2" t="str">
        <f>IF(Footer[[#This Row],[Column30]]&lt;&gt;"","XXX","")</f>
        <v>XXX</v>
      </c>
      <c r="AL14" s="2" t="str">
        <f>IF(Footer[[#This Row],[Column31]]&lt;&gt;"","XXX","")</f>
        <v>XXX</v>
      </c>
      <c r="AM14" s="2" t="str">
        <f>IF(Footer[[#This Row],[Column32]]&lt;&gt;"","XXX","")</f>
        <v>XXX</v>
      </c>
      <c r="AN14" s="2" t="str">
        <f>IF(Footer[[#This Row],[Column33]]&lt;&gt;"","XXX","")</f>
        <v>XXX</v>
      </c>
      <c r="AO14" s="2" t="str">
        <f>IF(Footer[[#This Row],[Column34]]&lt;&gt;"","XXX","")</f>
        <v>XXX</v>
      </c>
      <c r="AP14" s="2" t="str">
        <f>IF(Footer[[#This Row],[Column35]]&lt;&gt;"","XXX","")</f>
        <v>XXX</v>
      </c>
      <c r="AQ14" s="2" t="str">
        <f>IF(Footer[[#This Row],[Column36]]&lt;&gt;"","XXX","")</f>
        <v>XXX</v>
      </c>
      <c r="AR14" s="2" t="str">
        <f>IF(Footer[[#This Row],[Column37]]&lt;&gt;"","XXX","")</f>
        <v>XXX</v>
      </c>
      <c r="AS14" s="2" t="str">
        <f>IF(Footer[[#This Row],[Column38]]&lt;&gt;"","XXX","")</f>
        <v>XXX</v>
      </c>
      <c r="AT14" s="2" t="str">
        <f>IF(Footer[[#This Row],[Column39]]&lt;&gt;"","XXX","")</f>
        <v>XXX</v>
      </c>
      <c r="AU14" s="2" t="str">
        <f>IF(Footer[[#This Row],[Column40]]&lt;&gt;"","XXX","")</f>
        <v>XXX</v>
      </c>
      <c r="AV14" s="2" t="str">
        <f>IF(Footer[[#This Row],[Column41]]&lt;&gt;"","XXX","")</f>
        <v>XXX</v>
      </c>
      <c r="AW14" s="6" t="str">
        <f>IF(Footer[[#This Row],[Column42]]&lt;&gt;"","XXX","")</f>
        <v>XXX</v>
      </c>
      <c r="AX14" s="2" t="str">
        <f>IF(Footer[[#This Row],[Column43]]&lt;&gt;"","XXX","")</f>
        <v>XXX</v>
      </c>
      <c r="AY14" s="2" t="str">
        <f>IF(Footer[[#This Row],[Column44]]&lt;&gt;"","XXX","")</f>
        <v>XXX</v>
      </c>
      <c r="AZ14" s="2" t="str">
        <f>IF(Footer[[#This Row],[Column45]]&lt;&gt;"","XXX","")</f>
        <v>XXX</v>
      </c>
      <c r="BA14" s="2" t="str">
        <f>IF(Footer[[#This Row],[Column46]]&lt;&gt;"","XXX","")</f>
        <v>XXX</v>
      </c>
      <c r="BB14" s="2" t="str">
        <f>IF(Footer[[#This Row],[Column47]]&lt;&gt;"","XXX","")</f>
        <v>XXX</v>
      </c>
      <c r="BC14" s="2" t="str">
        <f>IF(Footer[[#This Row],[Column48]]&lt;&gt;"","XXX","")</f>
        <v>XXX</v>
      </c>
      <c r="BD14" s="2" t="str">
        <f>IF(Footer[[#This Row],[Column49]]&lt;&gt;"","XXX","")</f>
        <v>XXX</v>
      </c>
      <c r="BE14" s="2" t="str">
        <f>IF(Footer[[#This Row],[Column50]]&lt;&gt;"","XXX","")</f>
        <v>XXX</v>
      </c>
      <c r="BF14" s="2" t="str">
        <f>IF(Footer[[#This Row],[Column51]]&lt;&gt;"","XXX","")</f>
        <v>XXX</v>
      </c>
      <c r="BG14" s="2" t="str">
        <f>IF(Footer[[#This Row],[Column52]]&lt;&gt;"","XXX","")</f>
        <v>XXX</v>
      </c>
      <c r="BH14" s="2" t="str">
        <f>IF(Footer[[#This Row],[Column53]]&lt;&gt;"","XXX","")</f>
        <v>XXX</v>
      </c>
      <c r="BI14" s="2" t="str">
        <f>IF(Footer[[#This Row],[Column54]]&lt;&gt;"","XXX","")</f>
        <v>XXX</v>
      </c>
      <c r="BJ14" s="6" t="str">
        <f>IF(Footer[[#This Row],[Column1]]&lt;&gt;"",SUBSTITUTE(_xlfn.TEXTJOIN(",",TRUE,Footer[[#This Row],[Column1]:[Column61]]),"XXX",""),"")</f>
        <v>Definition,0,exercise_title,wkt_step_name,200,,message_index,1,,exercise_category,1,,exercise_name,1,,,,,,,,,,,,,,,,,,,,,,,,,,,,,,,,,,,,,,,,,,,,,,,</v>
      </c>
    </row>
    <row r="15" spans="1:62" x14ac:dyDescent="0.25">
      <c r="A15" s="2" t="str">
        <f>IF(Footer[[#This Row],[Column8]]&lt;&gt;"","Data","")</f>
        <v>Data</v>
      </c>
      <c r="B15" s="2" t="str">
        <f>IF(Footer[[#This Row],[Column8]]&lt;&gt;"","0","")</f>
        <v>0</v>
      </c>
      <c r="C15" s="2" t="str">
        <f>IF(Footer[[#This Row],[Column8]]&lt;&gt;"","exercise_title","")</f>
        <v>exercise_title</v>
      </c>
      <c r="D15" s="2" t="str">
        <f>IF(Footer[[#This Row],[Column8]]&lt;&gt;"","wkt_step_name","")</f>
        <v>wkt_step_name</v>
      </c>
      <c r="E15" s="4" t="str" cm="1">
        <f t="array" ref="E15">IFERROR(INDEX(_xlfn.UNIQUE(_xlfn._xlws.FILTER(Data[Exercise],Data[Exercise]&lt;&gt;""),FALSE,FALSE),ROW(Footer[[#This Row],[Column5]])-ROW($E$14),1),"")</f>
        <v>Warm-up</v>
      </c>
      <c r="F15" s="2" t="str">
        <f>IF(Footer[[#This Row],[Column5]]&lt;&gt;"","XXX","")</f>
        <v>XXX</v>
      </c>
      <c r="G15" s="2" t="str">
        <f>IF(Footer[[#This Row],[Column8]]&lt;&gt;"","message_index","")</f>
        <v>message_index</v>
      </c>
      <c r="H15" s="4">
        <f>IF(Footer[[#This Row],[Column5]]&lt;&gt;"",ROW(Footer[[#This Row],[Column5]])-ROW($E$15),"")</f>
        <v>0</v>
      </c>
      <c r="I15" s="2" t="str">
        <f>IF(Footer[[#This Row],[Column8]]&lt;&gt;"","XXX","")</f>
        <v>XXX</v>
      </c>
      <c r="J15" s="2" t="str">
        <f>IF(Footer[[#This Row],[Column8]]&lt;&gt;"","exercise_category","")</f>
        <v>exercise_category</v>
      </c>
      <c r="K15" s="4">
        <f>IF(Footer[[#This Row],[Column8]]&lt;&gt;"",VLOOKUP(Footer[[#This Row],[Column5]],Table_Exercises[],2,FALSE),"")</f>
        <v>31</v>
      </c>
      <c r="L15" s="2" t="str">
        <f>IF(Footer[[#This Row],[Column11]]&lt;&gt;"","XXX","")</f>
        <v>XXX</v>
      </c>
      <c r="M15" s="2" t="str">
        <f>IF(AND(Footer[[#This Row],[Column8]]&lt;&gt;"",Footer[[#This Row],[Column14]]&lt;&gt;"XXX"),"exercise_name","XXX")</f>
        <v>XXX</v>
      </c>
      <c r="N15" s="4" t="str">
        <f>IF(Footer[[#This Row],[Column8]]&lt;&gt;"",IF(VLOOKUP(Footer[[#This Row],[Column5]],Table_Exercises[],3,FALSE)="/","XXX",VLOOKUP(Footer[[#This Row],[Column5]],Table_Exercises[],3,FALSE)),"")</f>
        <v>XXX</v>
      </c>
      <c r="O15" s="2" t="str">
        <f>IF(Footer[[#This Row],[Column8]]&lt;&gt;"","XXX","")</f>
        <v>XXX</v>
      </c>
      <c r="P15" s="2" t="str">
        <f>IF(Footer[[#This Row],[Column9]]&lt;&gt;"","XXX","")</f>
        <v>XXX</v>
      </c>
      <c r="Q15" s="2" t="str">
        <f>IF(Footer[[#This Row],[Column10]]&lt;&gt;"","XXX","")</f>
        <v>XXX</v>
      </c>
      <c r="R15" s="2" t="str">
        <f>IF(Footer[[#This Row],[Column11]]&lt;&gt;"","XXX","")</f>
        <v>XXX</v>
      </c>
      <c r="S15" s="2" t="str">
        <f>IF(Footer[[#This Row],[Column12]]&lt;&gt;"","XXX","")</f>
        <v>XXX</v>
      </c>
      <c r="T15" s="2" t="str">
        <f>IF(Footer[[#This Row],[Column13]]&lt;&gt;"","XXX","")</f>
        <v>XXX</v>
      </c>
      <c r="U15" s="2" t="str">
        <f>IF(Footer[[#This Row],[Column14]]&lt;&gt;"","XXX","")</f>
        <v>XXX</v>
      </c>
      <c r="V15" s="2" t="str">
        <f>IF(Footer[[#This Row],[Column15]]&lt;&gt;"","XXX","")</f>
        <v>XXX</v>
      </c>
      <c r="W15" s="2" t="str">
        <f>IF(Footer[[#This Row],[Column16]]&lt;&gt;"","XXX","")</f>
        <v>XXX</v>
      </c>
      <c r="X15" s="2" t="str">
        <f>IF(Footer[[#This Row],[Column17]]&lt;&gt;"","XXX","")</f>
        <v>XXX</v>
      </c>
      <c r="Y15" s="2" t="str">
        <f>IF(Footer[[#This Row],[Column18]]&lt;&gt;"","XXX","")</f>
        <v>XXX</v>
      </c>
      <c r="Z15" s="2" t="str">
        <f>IF(Footer[[#This Row],[Column19]]&lt;&gt;"","XXX","")</f>
        <v>XXX</v>
      </c>
      <c r="AA15" s="2" t="str">
        <f>IF(Footer[[#This Row],[Column20]]&lt;&gt;"","XXX","")</f>
        <v>XXX</v>
      </c>
      <c r="AB15" s="2" t="str">
        <f>IF(Footer[[#This Row],[Column21]]&lt;&gt;"","XXX","")</f>
        <v>XXX</v>
      </c>
      <c r="AC15" s="2" t="str">
        <f>IF(Footer[[#This Row],[Column22]]&lt;&gt;"","XXX","")</f>
        <v>XXX</v>
      </c>
      <c r="AD15" s="2" t="str">
        <f>IF(Footer[[#This Row],[Column23]]&lt;&gt;"","XXX","")</f>
        <v>XXX</v>
      </c>
      <c r="AE15" s="2" t="str">
        <f>IF(Footer[[#This Row],[Column24]]&lt;&gt;"","XXX","")</f>
        <v>XXX</v>
      </c>
      <c r="AF15" s="2" t="str">
        <f>IF(Footer[[#This Row],[Column25]]&lt;&gt;"","XXX","")</f>
        <v>XXX</v>
      </c>
      <c r="AG15" s="2" t="str">
        <f>IF(Footer[[#This Row],[Column26]]&lt;&gt;"","XXX","")</f>
        <v>XXX</v>
      </c>
      <c r="AH15" s="2" t="str">
        <f>IF(Footer[[#This Row],[Column27]]&lt;&gt;"","XXX","")</f>
        <v>XXX</v>
      </c>
      <c r="AI15" s="2" t="str">
        <f>IF(Footer[[#This Row],[Column28]]&lt;&gt;"","XXX","")</f>
        <v>XXX</v>
      </c>
      <c r="AJ15" s="2" t="str">
        <f>IF(Footer[[#This Row],[Column29]]&lt;&gt;"","XXX","")</f>
        <v>XXX</v>
      </c>
      <c r="AK15" s="2" t="str">
        <f>IF(Footer[[#This Row],[Column30]]&lt;&gt;"","XXX","")</f>
        <v>XXX</v>
      </c>
      <c r="AL15" s="2" t="str">
        <f>IF(Footer[[#This Row],[Column31]]&lt;&gt;"","XXX","")</f>
        <v>XXX</v>
      </c>
      <c r="AM15" s="2" t="str">
        <f>IF(Footer[[#This Row],[Column32]]&lt;&gt;"","XXX","")</f>
        <v>XXX</v>
      </c>
      <c r="AN15" s="2" t="str">
        <f>IF(Footer[[#This Row],[Column33]]&lt;&gt;"","XXX","")</f>
        <v>XXX</v>
      </c>
      <c r="AO15" s="2" t="str">
        <f>IF(Footer[[#This Row],[Column34]]&lt;&gt;"","XXX","")</f>
        <v>XXX</v>
      </c>
      <c r="AP15" s="2" t="str">
        <f>IF(Footer[[#This Row],[Column35]]&lt;&gt;"","XXX","")</f>
        <v>XXX</v>
      </c>
      <c r="AQ15" s="2" t="str">
        <f>IF(Footer[[#This Row],[Column36]]&lt;&gt;"","XXX","")</f>
        <v>XXX</v>
      </c>
      <c r="AR15" s="2" t="str">
        <f>IF(Footer[[#This Row],[Column37]]&lt;&gt;"","XXX","")</f>
        <v>XXX</v>
      </c>
      <c r="AS15" s="2" t="str">
        <f>IF(Footer[[#This Row],[Column38]]&lt;&gt;"","XXX","")</f>
        <v>XXX</v>
      </c>
      <c r="AT15" s="2" t="str">
        <f>IF(Footer[[#This Row],[Column39]]&lt;&gt;"","XXX","")</f>
        <v>XXX</v>
      </c>
      <c r="AU15" s="2" t="str">
        <f>IF(Footer[[#This Row],[Column40]]&lt;&gt;"","XXX","")</f>
        <v>XXX</v>
      </c>
      <c r="AV15" s="2" t="str">
        <f>IF(Footer[[#This Row],[Column41]]&lt;&gt;"","XXX","")</f>
        <v>XXX</v>
      </c>
      <c r="AW15" s="6" t="str">
        <f>IF(Footer[[#This Row],[Column42]]&lt;&gt;"","XXX","")</f>
        <v>XXX</v>
      </c>
      <c r="AX15" s="2" t="str">
        <f>IF(Footer[[#This Row],[Column43]]&lt;&gt;"","XXX","")</f>
        <v>XXX</v>
      </c>
      <c r="AY15" s="2" t="str">
        <f>IF(Footer[[#This Row],[Column44]]&lt;&gt;"","XXX","")</f>
        <v>XXX</v>
      </c>
      <c r="AZ15" s="2" t="str">
        <f>IF(Footer[[#This Row],[Column45]]&lt;&gt;"","XXX","")</f>
        <v>XXX</v>
      </c>
      <c r="BA15" s="2" t="str">
        <f>IF(Footer[[#This Row],[Column46]]&lt;&gt;"","XXX","")</f>
        <v>XXX</v>
      </c>
      <c r="BB15" s="2" t="str">
        <f>IF(Footer[[#This Row],[Column47]]&lt;&gt;"","XXX","")</f>
        <v>XXX</v>
      </c>
      <c r="BC15" s="2" t="str">
        <f>IF(Footer[[#This Row],[Column48]]&lt;&gt;"","XXX","")</f>
        <v>XXX</v>
      </c>
      <c r="BD15" s="2" t="str">
        <f>IF(Footer[[#This Row],[Column49]]&lt;&gt;"","XXX","")</f>
        <v>XXX</v>
      </c>
      <c r="BE15" s="2" t="str">
        <f>IF(Footer[[#This Row],[Column50]]&lt;&gt;"","XXX","")</f>
        <v>XXX</v>
      </c>
      <c r="BF15" s="2" t="str">
        <f>IF(Footer[[#This Row],[Column51]]&lt;&gt;"","XXX","")</f>
        <v>XXX</v>
      </c>
      <c r="BG15" s="2" t="str">
        <f>IF(Footer[[#This Row],[Column52]]&lt;&gt;"","XXX","")</f>
        <v>XXX</v>
      </c>
      <c r="BH15" s="2" t="str">
        <f>IF(Footer[[#This Row],[Column53]]&lt;&gt;"","XXX","")</f>
        <v>XXX</v>
      </c>
      <c r="BI15" s="2" t="str">
        <f>IF(Footer[[#This Row],[Column54]]&lt;&gt;"","XXX","")</f>
        <v>XXX</v>
      </c>
      <c r="BJ15" s="6" t="str">
        <f>IF(Footer[[#This Row],[Column1]]&lt;&gt;"",SUBSTITUTE(_xlfn.TEXTJOIN(",",TRUE,Footer[[#This Row],[Column1]:[Column61]]),"XXX",""),"")</f>
        <v>Data,0,exercise_title,wkt_step_name,Warm-up,,message_index,0,,exercise_category,31,,,,,,,,,,,,,,,,,,,,,,,,,,,,,,,,,,,,,,,,,,,,,,,,,,</v>
      </c>
    </row>
    <row r="16" spans="1:62" x14ac:dyDescent="0.25">
      <c r="A16" s="2" t="str">
        <f>IF(Footer[[#This Row],[Column8]]&lt;&gt;"","Data","")</f>
        <v>Data</v>
      </c>
      <c r="B16" s="2" t="str">
        <f>IF(Footer[[#This Row],[Column8]]&lt;&gt;"","0","")</f>
        <v>0</v>
      </c>
      <c r="C16" s="2" t="str">
        <f>IF(Footer[[#This Row],[Column8]]&lt;&gt;"","exercise_title","")</f>
        <v>exercise_title</v>
      </c>
      <c r="D16" s="2" t="str">
        <f>IF(Footer[[#This Row],[Column8]]&lt;&gt;"","wkt_step_name","")</f>
        <v>wkt_step_name</v>
      </c>
      <c r="E16" s="4" t="str" cm="1">
        <f t="array" ref="E16">IFERROR(INDEX(_xlfn.UNIQUE(_xlfn._xlws.FILTER(Data[Exercise],Data[Exercise]&lt;&gt;""),FALSE,FALSE),ROW(Footer[[#This Row],[Column5]])-ROW($E$14),1),"")</f>
        <v>Dumbbell Bench Press</v>
      </c>
      <c r="F16" s="2" t="str">
        <f>IF(Footer[[#This Row],[Column5]]&lt;&gt;"","XXX","")</f>
        <v>XXX</v>
      </c>
      <c r="G16" s="2" t="str">
        <f>IF(Footer[[#This Row],[Column8]]&lt;&gt;"","message_index","")</f>
        <v>message_index</v>
      </c>
      <c r="H16" s="4">
        <f>IF(Footer[[#This Row],[Column5]]&lt;&gt;"",ROW(Footer[[#This Row],[Column5]])-ROW($E$15),"")</f>
        <v>1</v>
      </c>
      <c r="I16" s="2" t="str">
        <f>IF(Footer[[#This Row],[Column8]]&lt;&gt;"","XXX","")</f>
        <v>XXX</v>
      </c>
      <c r="J16" s="2" t="str">
        <f>IF(Footer[[#This Row],[Column8]]&lt;&gt;"","exercise_category","")</f>
        <v>exercise_category</v>
      </c>
      <c r="K16" s="4">
        <f>IF(Footer[[#This Row],[Column8]]&lt;&gt;"",VLOOKUP(Footer[[#This Row],[Column5]],Table_Exercises[],2,FALSE),"")</f>
        <v>0</v>
      </c>
      <c r="L16" s="2" t="str">
        <f>IF(Footer[[#This Row],[Column11]]&lt;&gt;"","XXX","")</f>
        <v>XXX</v>
      </c>
      <c r="M16" s="2" t="str">
        <f>IF(AND(Footer[[#This Row],[Column8]]&lt;&gt;"",Footer[[#This Row],[Column14]]&lt;&gt;""),"exercise_name","")</f>
        <v>exercise_name</v>
      </c>
      <c r="N16" s="4">
        <f>IF(Footer[[#This Row],[Column8]]&lt;&gt;"",IF(VLOOKUP(Footer[[#This Row],[Column5]],Table_Exercises[],3,FALSE)="/","XXX",VLOOKUP(Footer[[#This Row],[Column5]],Table_Exercises[],3,FALSE)),"")</f>
        <v>6</v>
      </c>
      <c r="O16" s="2" t="str">
        <f>IF(Footer[[#This Row],[Column8]]&lt;&gt;"","XXX","")</f>
        <v>XXX</v>
      </c>
      <c r="P16" s="2" t="str">
        <f>IF(Footer[[#This Row],[Column9]]&lt;&gt;"","XXX","")</f>
        <v>XXX</v>
      </c>
      <c r="Q16" s="2" t="str">
        <f>IF(Footer[[#This Row],[Column10]]&lt;&gt;"","XXX","")</f>
        <v>XXX</v>
      </c>
      <c r="R16" s="2" t="str">
        <f>IF(Footer[[#This Row],[Column11]]&lt;&gt;"","XXX","")</f>
        <v>XXX</v>
      </c>
      <c r="S16" s="2" t="str">
        <f>IF(Footer[[#This Row],[Column12]]&lt;&gt;"","XXX","")</f>
        <v>XXX</v>
      </c>
      <c r="T16" s="2" t="str">
        <f>IF(Footer[[#This Row],[Column13]]&lt;&gt;"","XXX","")</f>
        <v>XXX</v>
      </c>
      <c r="U16" s="2" t="str">
        <f>IF(Footer[[#This Row],[Column14]]&lt;&gt;"","XXX","")</f>
        <v>XXX</v>
      </c>
      <c r="V16" s="2" t="str">
        <f>IF(Footer[[#This Row],[Column15]]&lt;&gt;"","XXX","")</f>
        <v>XXX</v>
      </c>
      <c r="W16" s="2" t="str">
        <f>IF(Footer[[#This Row],[Column16]]&lt;&gt;"","XXX","")</f>
        <v>XXX</v>
      </c>
      <c r="X16" s="2" t="str">
        <f>IF(Footer[[#This Row],[Column17]]&lt;&gt;"","XXX","")</f>
        <v>XXX</v>
      </c>
      <c r="Y16" s="2" t="str">
        <f>IF(Footer[[#This Row],[Column18]]&lt;&gt;"","XXX","")</f>
        <v>XXX</v>
      </c>
      <c r="Z16" s="2" t="str">
        <f>IF(Footer[[#This Row],[Column19]]&lt;&gt;"","XXX","")</f>
        <v>XXX</v>
      </c>
      <c r="AA16" s="2" t="str">
        <f>IF(Footer[[#This Row],[Column20]]&lt;&gt;"","XXX","")</f>
        <v>XXX</v>
      </c>
      <c r="AB16" s="2" t="str">
        <f>IF(Footer[[#This Row],[Column21]]&lt;&gt;"","XXX","")</f>
        <v>XXX</v>
      </c>
      <c r="AC16" s="2" t="str">
        <f>IF(Footer[[#This Row],[Column22]]&lt;&gt;"","XXX","")</f>
        <v>XXX</v>
      </c>
      <c r="AD16" s="2" t="str">
        <f>IF(Footer[[#This Row],[Column23]]&lt;&gt;"","XXX","")</f>
        <v>XXX</v>
      </c>
      <c r="AE16" s="2" t="str">
        <f>IF(Footer[[#This Row],[Column24]]&lt;&gt;"","XXX","")</f>
        <v>XXX</v>
      </c>
      <c r="AF16" s="2" t="str">
        <f>IF(Footer[[#This Row],[Column25]]&lt;&gt;"","XXX","")</f>
        <v>XXX</v>
      </c>
      <c r="AG16" s="2" t="str">
        <f>IF(Footer[[#This Row],[Column26]]&lt;&gt;"","XXX","")</f>
        <v>XXX</v>
      </c>
      <c r="AH16" s="2" t="str">
        <f>IF(Footer[[#This Row],[Column27]]&lt;&gt;"","XXX","")</f>
        <v>XXX</v>
      </c>
      <c r="AI16" s="2" t="str">
        <f>IF(Footer[[#This Row],[Column28]]&lt;&gt;"","XXX","")</f>
        <v>XXX</v>
      </c>
      <c r="AJ16" s="2" t="str">
        <f>IF(Footer[[#This Row],[Column29]]&lt;&gt;"","XXX","")</f>
        <v>XXX</v>
      </c>
      <c r="AK16" s="2" t="str">
        <f>IF(Footer[[#This Row],[Column30]]&lt;&gt;"","XXX","")</f>
        <v>XXX</v>
      </c>
      <c r="AL16" s="2" t="str">
        <f>IF(Footer[[#This Row],[Column31]]&lt;&gt;"","XXX","")</f>
        <v>XXX</v>
      </c>
      <c r="AM16" s="2" t="str">
        <f>IF(Footer[[#This Row],[Column32]]&lt;&gt;"","XXX","")</f>
        <v>XXX</v>
      </c>
      <c r="AN16" s="2" t="str">
        <f>IF(Footer[[#This Row],[Column33]]&lt;&gt;"","XXX","")</f>
        <v>XXX</v>
      </c>
      <c r="AO16" s="2" t="str">
        <f>IF(Footer[[#This Row],[Column34]]&lt;&gt;"","XXX","")</f>
        <v>XXX</v>
      </c>
      <c r="AP16" s="2" t="str">
        <f>IF(Footer[[#This Row],[Column35]]&lt;&gt;"","XXX","")</f>
        <v>XXX</v>
      </c>
      <c r="AQ16" s="2" t="str">
        <f>IF(Footer[[#This Row],[Column36]]&lt;&gt;"","XXX","")</f>
        <v>XXX</v>
      </c>
      <c r="AR16" s="2" t="str">
        <f>IF(Footer[[#This Row],[Column37]]&lt;&gt;"","XXX","")</f>
        <v>XXX</v>
      </c>
      <c r="AS16" s="2" t="str">
        <f>IF(Footer[[#This Row],[Column38]]&lt;&gt;"","XXX","")</f>
        <v>XXX</v>
      </c>
      <c r="AT16" s="2" t="str">
        <f>IF(Footer[[#This Row],[Column39]]&lt;&gt;"","XXX","")</f>
        <v>XXX</v>
      </c>
      <c r="AU16" s="2" t="str">
        <f>IF(Footer[[#This Row],[Column40]]&lt;&gt;"","XXX","")</f>
        <v>XXX</v>
      </c>
      <c r="AV16" s="2" t="str">
        <f>IF(Footer[[#This Row],[Column41]]&lt;&gt;"","XXX","")</f>
        <v>XXX</v>
      </c>
      <c r="AW16" s="6" t="str">
        <f>IF(Footer[[#This Row],[Column42]]&lt;&gt;"","XXX","")</f>
        <v>XXX</v>
      </c>
      <c r="AX16" s="2" t="str">
        <f>IF(Footer[[#This Row],[Column43]]&lt;&gt;"","XXX","")</f>
        <v>XXX</v>
      </c>
      <c r="AY16" s="2" t="str">
        <f>IF(Footer[[#This Row],[Column44]]&lt;&gt;"","XXX","")</f>
        <v>XXX</v>
      </c>
      <c r="AZ16" s="2" t="str">
        <f>IF(Footer[[#This Row],[Column45]]&lt;&gt;"","XXX","")</f>
        <v>XXX</v>
      </c>
      <c r="BA16" s="2" t="str">
        <f>IF(Footer[[#This Row],[Column46]]&lt;&gt;"","XXX","")</f>
        <v>XXX</v>
      </c>
      <c r="BB16" s="2" t="str">
        <f>IF(Footer[[#This Row],[Column47]]&lt;&gt;"","XXX","")</f>
        <v>XXX</v>
      </c>
      <c r="BC16" s="2" t="str">
        <f>IF(Footer[[#This Row],[Column48]]&lt;&gt;"","XXX","")</f>
        <v>XXX</v>
      </c>
      <c r="BD16" s="2" t="str">
        <f>IF(Footer[[#This Row],[Column49]]&lt;&gt;"","XXX","")</f>
        <v>XXX</v>
      </c>
      <c r="BE16" s="2" t="str">
        <f>IF(Footer[[#This Row],[Column50]]&lt;&gt;"","XXX","")</f>
        <v>XXX</v>
      </c>
      <c r="BF16" s="2" t="str">
        <f>IF(Footer[[#This Row],[Column51]]&lt;&gt;"","XXX","")</f>
        <v>XXX</v>
      </c>
      <c r="BG16" s="2" t="str">
        <f>IF(Footer[[#This Row],[Column52]]&lt;&gt;"","XXX","")</f>
        <v>XXX</v>
      </c>
      <c r="BH16" s="2" t="str">
        <f>IF(Footer[[#This Row],[Column53]]&lt;&gt;"","XXX","")</f>
        <v>XXX</v>
      </c>
      <c r="BI16" s="2" t="str">
        <f>IF(Footer[[#This Row],[Column54]]&lt;&gt;"","XXX","")</f>
        <v>XXX</v>
      </c>
      <c r="BJ16" s="6" t="str">
        <f>IF(Footer[[#This Row],[Column1]]&lt;&gt;"",SUBSTITUTE(_xlfn.TEXTJOIN(",",TRUE,Footer[[#This Row],[Column1]:[Column61]]),"XXX",""),"")</f>
        <v>Data,0,exercise_title,wkt_step_name,Dumbbell Bench Press,,message_index,1,,exercise_category,0,,exercise_name,6,,,,,,,,,,,,,,,,,,,,,,,,,,,,,,,,,,,,,,,,,,,,,,,</v>
      </c>
    </row>
    <row r="17" spans="1:62" x14ac:dyDescent="0.25">
      <c r="A17" s="2" t="str">
        <f>IF(Footer[[#This Row],[Column8]]&lt;&gt;"","Data","")</f>
        <v>Data</v>
      </c>
      <c r="B17" s="2" t="str">
        <f>IF(Footer[[#This Row],[Column8]]&lt;&gt;"","0","")</f>
        <v>0</v>
      </c>
      <c r="C17" s="2" t="str">
        <f>IF(Footer[[#This Row],[Column8]]&lt;&gt;"","exercise_title","")</f>
        <v>exercise_title</v>
      </c>
      <c r="D17" s="2" t="str">
        <f>IF(Footer[[#This Row],[Column8]]&lt;&gt;"","wkt_step_name","")</f>
        <v>wkt_step_name</v>
      </c>
      <c r="E17" s="4" t="str" cm="1">
        <f t="array" ref="E17">IFERROR(INDEX(_xlfn.UNIQUE(_xlfn._xlws.FILTER(Data[Exercise],Data[Exercise]&lt;&gt;""),FALSE,FALSE),ROW(Footer[[#This Row],[Column5]])-ROW($E$14),1),"")</f>
        <v>Lying Dumbbell Pull-over to Extension</v>
      </c>
      <c r="F17" s="2" t="str">
        <f>IF(Footer[[#This Row],[Column5]]&lt;&gt;"","XXX","")</f>
        <v>XXX</v>
      </c>
      <c r="G17" s="2" t="str">
        <f>IF(Footer[[#This Row],[Column8]]&lt;&gt;"","message_index","")</f>
        <v>message_index</v>
      </c>
      <c r="H17" s="4">
        <f>IF(Footer[[#This Row],[Column5]]&lt;&gt;"",ROW(Footer[[#This Row],[Column5]])-ROW($E$15),"")</f>
        <v>2</v>
      </c>
      <c r="I17" s="2" t="str">
        <f>IF(Footer[[#This Row],[Column8]]&lt;&gt;"","XXX","")</f>
        <v>XXX</v>
      </c>
      <c r="J17" s="2" t="str">
        <f>IF(Footer[[#This Row],[Column8]]&lt;&gt;"","exercise_category","")</f>
        <v>exercise_category</v>
      </c>
      <c r="K17" s="4">
        <f>IF(Footer[[#This Row],[Column8]]&lt;&gt;"",VLOOKUP(Footer[[#This Row],[Column5]],Table_Exercises[],2,FALSE),"")</f>
        <v>30</v>
      </c>
      <c r="L17" s="2" t="str">
        <f>IF(Footer[[#This Row],[Column11]]&lt;&gt;"","XXX","")</f>
        <v>XXX</v>
      </c>
      <c r="M17" s="2" t="str">
        <f>IF(AND(Footer[[#This Row],[Column8]]&lt;&gt;"",Footer[[#This Row],[Column14]]&lt;&gt;""),"exercise_name","")</f>
        <v>exercise_name</v>
      </c>
      <c r="N17" s="4">
        <f>IF(Footer[[#This Row],[Column8]]&lt;&gt;"",IF(VLOOKUP(Footer[[#This Row],[Column5]],Table_Exercises[],3,FALSE)="/","XXX",VLOOKUP(Footer[[#This Row],[Column5]],Table_Exercises[],3,FALSE)),"")</f>
        <v>12</v>
      </c>
      <c r="O17" s="2" t="str">
        <f>IF(Footer[[#This Row],[Column8]]&lt;&gt;"","XXX","")</f>
        <v>XXX</v>
      </c>
      <c r="P17" s="2" t="str">
        <f>IF(Footer[[#This Row],[Column9]]&lt;&gt;"","XXX","")</f>
        <v>XXX</v>
      </c>
      <c r="Q17" s="2" t="str">
        <f>IF(Footer[[#This Row],[Column10]]&lt;&gt;"","XXX","")</f>
        <v>XXX</v>
      </c>
      <c r="R17" s="2" t="str">
        <f>IF(Footer[[#This Row],[Column11]]&lt;&gt;"","XXX","")</f>
        <v>XXX</v>
      </c>
      <c r="S17" s="2" t="str">
        <f>IF(Footer[[#This Row],[Column12]]&lt;&gt;"","XXX","")</f>
        <v>XXX</v>
      </c>
      <c r="T17" s="2" t="str">
        <f>IF(Footer[[#This Row],[Column13]]&lt;&gt;"","XXX","")</f>
        <v>XXX</v>
      </c>
      <c r="U17" s="2" t="str">
        <f>IF(Footer[[#This Row],[Column14]]&lt;&gt;"","XXX","")</f>
        <v>XXX</v>
      </c>
      <c r="V17" s="2" t="str">
        <f>IF(Footer[[#This Row],[Column15]]&lt;&gt;"","XXX","")</f>
        <v>XXX</v>
      </c>
      <c r="W17" s="2" t="str">
        <f>IF(Footer[[#This Row],[Column16]]&lt;&gt;"","XXX","")</f>
        <v>XXX</v>
      </c>
      <c r="X17" s="2" t="str">
        <f>IF(Footer[[#This Row],[Column17]]&lt;&gt;"","XXX","")</f>
        <v>XXX</v>
      </c>
      <c r="Y17" s="2" t="str">
        <f>IF(Footer[[#This Row],[Column18]]&lt;&gt;"","XXX","")</f>
        <v>XXX</v>
      </c>
      <c r="Z17" s="2" t="str">
        <f>IF(Footer[[#This Row],[Column19]]&lt;&gt;"","XXX","")</f>
        <v>XXX</v>
      </c>
      <c r="AA17" s="2" t="str">
        <f>IF(Footer[[#This Row],[Column20]]&lt;&gt;"","XXX","")</f>
        <v>XXX</v>
      </c>
      <c r="AB17" s="2" t="str">
        <f>IF(Footer[[#This Row],[Column21]]&lt;&gt;"","XXX","")</f>
        <v>XXX</v>
      </c>
      <c r="AC17" s="2" t="str">
        <f>IF(Footer[[#This Row],[Column22]]&lt;&gt;"","XXX","")</f>
        <v>XXX</v>
      </c>
      <c r="AD17" s="2" t="str">
        <f>IF(Footer[[#This Row],[Column23]]&lt;&gt;"","XXX","")</f>
        <v>XXX</v>
      </c>
      <c r="AE17" s="2" t="str">
        <f>IF(Footer[[#This Row],[Column24]]&lt;&gt;"","XXX","")</f>
        <v>XXX</v>
      </c>
      <c r="AF17" s="2" t="str">
        <f>IF(Footer[[#This Row],[Column25]]&lt;&gt;"","XXX","")</f>
        <v>XXX</v>
      </c>
      <c r="AG17" s="2" t="str">
        <f>IF(Footer[[#This Row],[Column26]]&lt;&gt;"","XXX","")</f>
        <v>XXX</v>
      </c>
      <c r="AH17" s="2" t="str">
        <f>IF(Footer[[#This Row],[Column27]]&lt;&gt;"","XXX","")</f>
        <v>XXX</v>
      </c>
      <c r="AI17" s="2" t="str">
        <f>IF(Footer[[#This Row],[Column28]]&lt;&gt;"","XXX","")</f>
        <v>XXX</v>
      </c>
      <c r="AJ17" s="2" t="str">
        <f>IF(Footer[[#This Row],[Column29]]&lt;&gt;"","XXX","")</f>
        <v>XXX</v>
      </c>
      <c r="AK17" s="2" t="str">
        <f>IF(Footer[[#This Row],[Column30]]&lt;&gt;"","XXX","")</f>
        <v>XXX</v>
      </c>
      <c r="AL17" s="2" t="str">
        <f>IF(Footer[[#This Row],[Column31]]&lt;&gt;"","XXX","")</f>
        <v>XXX</v>
      </c>
      <c r="AM17" s="2" t="str">
        <f>IF(Footer[[#This Row],[Column32]]&lt;&gt;"","XXX","")</f>
        <v>XXX</v>
      </c>
      <c r="AN17" s="2" t="str">
        <f>IF(Footer[[#This Row],[Column33]]&lt;&gt;"","XXX","")</f>
        <v>XXX</v>
      </c>
      <c r="AO17" s="2" t="str">
        <f>IF(Footer[[#This Row],[Column34]]&lt;&gt;"","XXX","")</f>
        <v>XXX</v>
      </c>
      <c r="AP17" s="2" t="str">
        <f>IF(Footer[[#This Row],[Column35]]&lt;&gt;"","XXX","")</f>
        <v>XXX</v>
      </c>
      <c r="AQ17" s="2" t="str">
        <f>IF(Footer[[#This Row],[Column36]]&lt;&gt;"","XXX","")</f>
        <v>XXX</v>
      </c>
      <c r="AR17" s="2" t="str">
        <f>IF(Footer[[#This Row],[Column37]]&lt;&gt;"","XXX","")</f>
        <v>XXX</v>
      </c>
      <c r="AS17" s="2" t="str">
        <f>IF(Footer[[#This Row],[Column38]]&lt;&gt;"","XXX","")</f>
        <v>XXX</v>
      </c>
      <c r="AT17" s="2" t="str">
        <f>IF(Footer[[#This Row],[Column39]]&lt;&gt;"","XXX","")</f>
        <v>XXX</v>
      </c>
      <c r="AU17" s="2" t="str">
        <f>IF(Footer[[#This Row],[Column40]]&lt;&gt;"","XXX","")</f>
        <v>XXX</v>
      </c>
      <c r="AV17" s="2" t="str">
        <f>IF(Footer[[#This Row],[Column41]]&lt;&gt;"","XXX","")</f>
        <v>XXX</v>
      </c>
      <c r="AW17" s="6" t="str">
        <f>IF(Footer[[#This Row],[Column42]]&lt;&gt;"","XXX","")</f>
        <v>XXX</v>
      </c>
      <c r="AX17" s="2" t="str">
        <f>IF(Footer[[#This Row],[Column43]]&lt;&gt;"","XXX","")</f>
        <v>XXX</v>
      </c>
      <c r="AY17" s="2" t="str">
        <f>IF(Footer[[#This Row],[Column44]]&lt;&gt;"","XXX","")</f>
        <v>XXX</v>
      </c>
      <c r="AZ17" s="2" t="str">
        <f>IF(Footer[[#This Row],[Column45]]&lt;&gt;"","XXX","")</f>
        <v>XXX</v>
      </c>
      <c r="BA17" s="2" t="str">
        <f>IF(Footer[[#This Row],[Column46]]&lt;&gt;"","XXX","")</f>
        <v>XXX</v>
      </c>
      <c r="BB17" s="2" t="str">
        <f>IF(Footer[[#This Row],[Column47]]&lt;&gt;"","XXX","")</f>
        <v>XXX</v>
      </c>
      <c r="BC17" s="2" t="str">
        <f>IF(Footer[[#This Row],[Column48]]&lt;&gt;"","XXX","")</f>
        <v>XXX</v>
      </c>
      <c r="BD17" s="2" t="str">
        <f>IF(Footer[[#This Row],[Column49]]&lt;&gt;"","XXX","")</f>
        <v>XXX</v>
      </c>
      <c r="BE17" s="2" t="str">
        <f>IF(Footer[[#This Row],[Column50]]&lt;&gt;"","XXX","")</f>
        <v>XXX</v>
      </c>
      <c r="BF17" s="2" t="str">
        <f>IF(Footer[[#This Row],[Column51]]&lt;&gt;"","XXX","")</f>
        <v>XXX</v>
      </c>
      <c r="BG17" s="2" t="str">
        <f>IF(Footer[[#This Row],[Column52]]&lt;&gt;"","XXX","")</f>
        <v>XXX</v>
      </c>
      <c r="BH17" s="2" t="str">
        <f>IF(Footer[[#This Row],[Column53]]&lt;&gt;"","XXX","")</f>
        <v>XXX</v>
      </c>
      <c r="BI17" s="2" t="str">
        <f>IF(Footer[[#This Row],[Column54]]&lt;&gt;"","XXX","")</f>
        <v>XXX</v>
      </c>
      <c r="BJ17" s="6" t="str">
        <f>IF(Footer[[#This Row],[Column1]]&lt;&gt;"",SUBSTITUTE(_xlfn.TEXTJOIN(",",TRUE,Footer[[#This Row],[Column1]:[Column61]]),"XXX",""),"")</f>
        <v>Data,0,exercise_title,wkt_step_name,Lying Dumbbell Pull-over to Extension,,message_index,2,,exercise_category,30,,exercise_name,12,,,,,,,,,,,,,,,,,,,,,,,,,,,,,,,,,,,,,,,,,,,,,,,</v>
      </c>
    </row>
    <row r="18" spans="1:62" x14ac:dyDescent="0.25">
      <c r="A18" s="2" t="str">
        <f>IF(Footer[[#This Row],[Column8]]&lt;&gt;"","Data","")</f>
        <v>Data</v>
      </c>
      <c r="B18" s="2" t="str">
        <f>IF(Footer[[#This Row],[Column8]]&lt;&gt;"","0","")</f>
        <v>0</v>
      </c>
      <c r="C18" s="2" t="str">
        <f>IF(Footer[[#This Row],[Column8]]&lt;&gt;"","exercise_title","")</f>
        <v>exercise_title</v>
      </c>
      <c r="D18" s="2" t="str">
        <f>IF(Footer[[#This Row],[Column8]]&lt;&gt;"","wkt_step_name","")</f>
        <v>wkt_step_name</v>
      </c>
      <c r="E18" s="4" t="str" cm="1">
        <f t="array" ref="E18">IFERROR(INDEX(_xlfn.UNIQUE(_xlfn._xlws.FILTER(Data[Exercise],Data[Exercise]&lt;&gt;""),FALSE,FALSE),ROW(Footer[[#This Row],[Column5]])-ROW($E$14),1),"")</f>
        <v>Seated Lateral Raise</v>
      </c>
      <c r="F18" s="2" t="str">
        <f>IF(Footer[[#This Row],[Column5]]&lt;&gt;"","XXX","")</f>
        <v>XXX</v>
      </c>
      <c r="G18" s="2" t="str">
        <f>IF(Footer[[#This Row],[Column8]]&lt;&gt;"","message_index","")</f>
        <v>message_index</v>
      </c>
      <c r="H18" s="4">
        <f>IF(Footer[[#This Row],[Column5]]&lt;&gt;"",ROW(Footer[[#This Row],[Column5]])-ROW($E$15),"")</f>
        <v>3</v>
      </c>
      <c r="I18" s="2" t="str">
        <f>IF(Footer[[#This Row],[Column8]]&lt;&gt;"","XXX","")</f>
        <v>XXX</v>
      </c>
      <c r="J18" s="2" t="str">
        <f>IF(Footer[[#This Row],[Column8]]&lt;&gt;"","exercise_category","")</f>
        <v>exercise_category</v>
      </c>
      <c r="K18" s="4">
        <f>IF(Footer[[#This Row],[Column8]]&lt;&gt;"",VLOOKUP(Footer[[#This Row],[Column5]],Table_Exercises[],2,FALSE),"")</f>
        <v>14</v>
      </c>
      <c r="L18" s="2" t="str">
        <f>IF(Footer[[#This Row],[Column11]]&lt;&gt;"","XXX","")</f>
        <v>XXX</v>
      </c>
      <c r="M18" s="2" t="str">
        <f>IF(AND(Footer[[#This Row],[Column8]]&lt;&gt;"",Footer[[#This Row],[Column14]]&lt;&gt;""),"exercise_name","")</f>
        <v>exercise_name</v>
      </c>
      <c r="N18" s="4">
        <f>IF(Footer[[#This Row],[Column8]]&lt;&gt;"",IF(VLOOKUP(Footer[[#This Row],[Column5]],Table_Exercises[],3,FALSE)="/","XXX",VLOOKUP(Footer[[#This Row],[Column5]],Table_Exercises[],3,FALSE)),"")</f>
        <v>24</v>
      </c>
      <c r="O18" s="2" t="str">
        <f>IF(Footer[[#This Row],[Column8]]&lt;&gt;"","XXX","")</f>
        <v>XXX</v>
      </c>
      <c r="P18" s="2" t="str">
        <f>IF(Footer[[#This Row],[Column9]]&lt;&gt;"","XXX","")</f>
        <v>XXX</v>
      </c>
      <c r="Q18" s="2" t="str">
        <f>IF(Footer[[#This Row],[Column10]]&lt;&gt;"","XXX","")</f>
        <v>XXX</v>
      </c>
      <c r="R18" s="2" t="str">
        <f>IF(Footer[[#This Row],[Column11]]&lt;&gt;"","XXX","")</f>
        <v>XXX</v>
      </c>
      <c r="S18" s="2" t="str">
        <f>IF(Footer[[#This Row],[Column12]]&lt;&gt;"","XXX","")</f>
        <v>XXX</v>
      </c>
      <c r="T18" s="2" t="str">
        <f>IF(Footer[[#This Row],[Column13]]&lt;&gt;"","XXX","")</f>
        <v>XXX</v>
      </c>
      <c r="U18" s="2" t="str">
        <f>IF(Footer[[#This Row],[Column14]]&lt;&gt;"","XXX","")</f>
        <v>XXX</v>
      </c>
      <c r="V18" s="2" t="str">
        <f>IF(Footer[[#This Row],[Column15]]&lt;&gt;"","XXX","")</f>
        <v>XXX</v>
      </c>
      <c r="W18" s="2" t="str">
        <f>IF(Footer[[#This Row],[Column16]]&lt;&gt;"","XXX","")</f>
        <v>XXX</v>
      </c>
      <c r="X18" s="2" t="str">
        <f>IF(Footer[[#This Row],[Column17]]&lt;&gt;"","XXX","")</f>
        <v>XXX</v>
      </c>
      <c r="Y18" s="2" t="str">
        <f>IF(Footer[[#This Row],[Column18]]&lt;&gt;"","XXX","")</f>
        <v>XXX</v>
      </c>
      <c r="Z18" s="2" t="str">
        <f>IF(Footer[[#This Row],[Column19]]&lt;&gt;"","XXX","")</f>
        <v>XXX</v>
      </c>
      <c r="AA18" s="2" t="str">
        <f>IF(Footer[[#This Row],[Column20]]&lt;&gt;"","XXX","")</f>
        <v>XXX</v>
      </c>
      <c r="AB18" s="2" t="str">
        <f>IF(Footer[[#This Row],[Column21]]&lt;&gt;"","XXX","")</f>
        <v>XXX</v>
      </c>
      <c r="AC18" s="2" t="str">
        <f>IF(Footer[[#This Row],[Column22]]&lt;&gt;"","XXX","")</f>
        <v>XXX</v>
      </c>
      <c r="AD18" s="2" t="str">
        <f>IF(Footer[[#This Row],[Column23]]&lt;&gt;"","XXX","")</f>
        <v>XXX</v>
      </c>
      <c r="AE18" s="2" t="str">
        <f>IF(Footer[[#This Row],[Column24]]&lt;&gt;"","XXX","")</f>
        <v>XXX</v>
      </c>
      <c r="AF18" s="2" t="str">
        <f>IF(Footer[[#This Row],[Column25]]&lt;&gt;"","XXX","")</f>
        <v>XXX</v>
      </c>
      <c r="AG18" s="2" t="str">
        <f>IF(Footer[[#This Row],[Column26]]&lt;&gt;"","XXX","")</f>
        <v>XXX</v>
      </c>
      <c r="AH18" s="2" t="str">
        <f>IF(Footer[[#This Row],[Column27]]&lt;&gt;"","XXX","")</f>
        <v>XXX</v>
      </c>
      <c r="AI18" s="2" t="str">
        <f>IF(Footer[[#This Row],[Column28]]&lt;&gt;"","XXX","")</f>
        <v>XXX</v>
      </c>
      <c r="AJ18" s="2" t="str">
        <f>IF(Footer[[#This Row],[Column29]]&lt;&gt;"","XXX","")</f>
        <v>XXX</v>
      </c>
      <c r="AK18" s="2" t="str">
        <f>IF(Footer[[#This Row],[Column30]]&lt;&gt;"","XXX","")</f>
        <v>XXX</v>
      </c>
      <c r="AL18" s="2" t="str">
        <f>IF(Footer[[#This Row],[Column31]]&lt;&gt;"","XXX","")</f>
        <v>XXX</v>
      </c>
      <c r="AM18" s="2" t="str">
        <f>IF(Footer[[#This Row],[Column32]]&lt;&gt;"","XXX","")</f>
        <v>XXX</v>
      </c>
      <c r="AN18" s="2" t="str">
        <f>IF(Footer[[#This Row],[Column33]]&lt;&gt;"","XXX","")</f>
        <v>XXX</v>
      </c>
      <c r="AO18" s="2" t="str">
        <f>IF(Footer[[#This Row],[Column34]]&lt;&gt;"","XXX","")</f>
        <v>XXX</v>
      </c>
      <c r="AP18" s="2" t="str">
        <f>IF(Footer[[#This Row],[Column35]]&lt;&gt;"","XXX","")</f>
        <v>XXX</v>
      </c>
      <c r="AQ18" s="2" t="str">
        <f>IF(Footer[[#This Row],[Column36]]&lt;&gt;"","XXX","")</f>
        <v>XXX</v>
      </c>
      <c r="AR18" s="2" t="str">
        <f>IF(Footer[[#This Row],[Column37]]&lt;&gt;"","XXX","")</f>
        <v>XXX</v>
      </c>
      <c r="AS18" s="2" t="str">
        <f>IF(Footer[[#This Row],[Column38]]&lt;&gt;"","XXX","")</f>
        <v>XXX</v>
      </c>
      <c r="AT18" s="2" t="str">
        <f>IF(Footer[[#This Row],[Column39]]&lt;&gt;"","XXX","")</f>
        <v>XXX</v>
      </c>
      <c r="AU18" s="2" t="str">
        <f>IF(Footer[[#This Row],[Column40]]&lt;&gt;"","XXX","")</f>
        <v>XXX</v>
      </c>
      <c r="AV18" s="2" t="str">
        <f>IF(Footer[[#This Row],[Column41]]&lt;&gt;"","XXX","")</f>
        <v>XXX</v>
      </c>
      <c r="AW18" s="6" t="str">
        <f>IF(Footer[[#This Row],[Column42]]&lt;&gt;"","XXX","")</f>
        <v>XXX</v>
      </c>
      <c r="AX18" s="2" t="str">
        <f>IF(Footer[[#This Row],[Column43]]&lt;&gt;"","XXX","")</f>
        <v>XXX</v>
      </c>
      <c r="AY18" s="2" t="str">
        <f>IF(Footer[[#This Row],[Column44]]&lt;&gt;"","XXX","")</f>
        <v>XXX</v>
      </c>
      <c r="AZ18" s="2" t="str">
        <f>IF(Footer[[#This Row],[Column45]]&lt;&gt;"","XXX","")</f>
        <v>XXX</v>
      </c>
      <c r="BA18" s="2" t="str">
        <f>IF(Footer[[#This Row],[Column46]]&lt;&gt;"","XXX","")</f>
        <v>XXX</v>
      </c>
      <c r="BB18" s="2" t="str">
        <f>IF(Footer[[#This Row],[Column47]]&lt;&gt;"","XXX","")</f>
        <v>XXX</v>
      </c>
      <c r="BC18" s="2" t="str">
        <f>IF(Footer[[#This Row],[Column48]]&lt;&gt;"","XXX","")</f>
        <v>XXX</v>
      </c>
      <c r="BD18" s="2" t="str">
        <f>IF(Footer[[#This Row],[Column49]]&lt;&gt;"","XXX","")</f>
        <v>XXX</v>
      </c>
      <c r="BE18" s="2" t="str">
        <f>IF(Footer[[#This Row],[Column50]]&lt;&gt;"","XXX","")</f>
        <v>XXX</v>
      </c>
      <c r="BF18" s="2" t="str">
        <f>IF(Footer[[#This Row],[Column51]]&lt;&gt;"","XXX","")</f>
        <v>XXX</v>
      </c>
      <c r="BG18" s="2" t="str">
        <f>IF(Footer[[#This Row],[Column52]]&lt;&gt;"","XXX","")</f>
        <v>XXX</v>
      </c>
      <c r="BH18" s="2" t="str">
        <f>IF(Footer[[#This Row],[Column53]]&lt;&gt;"","XXX","")</f>
        <v>XXX</v>
      </c>
      <c r="BI18" s="2" t="str">
        <f>IF(Footer[[#This Row],[Column54]]&lt;&gt;"","XXX","")</f>
        <v>XXX</v>
      </c>
      <c r="BJ18" s="6" t="str">
        <f>IF(Footer[[#This Row],[Column1]]&lt;&gt;"",SUBSTITUTE(_xlfn.TEXTJOIN(",",TRUE,Footer[[#This Row],[Column1]:[Column61]]),"XXX",""),"")</f>
        <v>Data,0,exercise_title,wkt_step_name,Seated Lateral Raise,,message_index,3,,exercise_category,14,,exercise_name,24,,,,,,,,,,,,,,,,,,,,,,,,,,,,,,,,,,,,,,,,,,,,,,,</v>
      </c>
    </row>
    <row r="19" spans="1:62" x14ac:dyDescent="0.25">
      <c r="A19" s="2" t="str">
        <f>IF(Footer[[#This Row],[Column8]]&lt;&gt;"","Data","")</f>
        <v>Data</v>
      </c>
      <c r="B19" s="2" t="str">
        <f>IF(Footer[[#This Row],[Column8]]&lt;&gt;"","0","")</f>
        <v>0</v>
      </c>
      <c r="C19" s="2" t="str">
        <f>IF(Footer[[#This Row],[Column8]]&lt;&gt;"","exercise_title","")</f>
        <v>exercise_title</v>
      </c>
      <c r="D19" s="2" t="str">
        <f>IF(Footer[[#This Row],[Column8]]&lt;&gt;"","wkt_step_name","")</f>
        <v>wkt_step_name</v>
      </c>
      <c r="E19" s="4" t="str" cm="1">
        <f t="array" ref="E19">IFERROR(INDEX(_xlfn.UNIQUE(_xlfn._xlws.FILTER(Data[Exercise],Data[Exercise]&lt;&gt;""),FALSE,FALSE),ROW(Footer[[#This Row],[Column5]])-ROW($E$14),1),"")</f>
        <v>Seated Alternating Dumbbell Biceps Curl</v>
      </c>
      <c r="F19" s="2" t="str">
        <f>IF(Footer[[#This Row],[Column5]]&lt;&gt;"","XXX","")</f>
        <v>XXX</v>
      </c>
      <c r="G19" s="2" t="str">
        <f>IF(Footer[[#This Row],[Column8]]&lt;&gt;"","message_index","")</f>
        <v>message_index</v>
      </c>
      <c r="H19" s="4">
        <f>IF(Footer[[#This Row],[Column5]]&lt;&gt;"",ROW(Footer[[#This Row],[Column5]])-ROW($E$15),"")</f>
        <v>4</v>
      </c>
      <c r="I19" s="2" t="str">
        <f>IF(Footer[[#This Row],[Column8]]&lt;&gt;"","XXX","")</f>
        <v>XXX</v>
      </c>
      <c r="J19" s="2" t="str">
        <f>IF(Footer[[#This Row],[Column8]]&lt;&gt;"","exercise_category","")</f>
        <v>exercise_category</v>
      </c>
      <c r="K19" s="4">
        <f>IF(Footer[[#This Row],[Column8]]&lt;&gt;"",VLOOKUP(Footer[[#This Row],[Column5]],Table_Exercises[],2,FALSE),"")</f>
        <v>7</v>
      </c>
      <c r="L19" s="2" t="str">
        <f>IF(Footer[[#This Row],[Column11]]&lt;&gt;"","XXX","")</f>
        <v>XXX</v>
      </c>
      <c r="M19" s="2" t="str">
        <f>IF(AND(Footer[[#This Row],[Column8]]&lt;&gt;"",Footer[[#This Row],[Column14]]&lt;&gt;""),"exercise_name","")</f>
        <v>exercise_name</v>
      </c>
      <c r="N19" s="4">
        <f>IF(Footer[[#This Row],[Column8]]&lt;&gt;"",IF(VLOOKUP(Footer[[#This Row],[Column5]],Table_Exercises[],3,FALSE)="/","XXX",VLOOKUP(Footer[[#This Row],[Column5]],Table_Exercises[],3,FALSE)),"")</f>
        <v>32</v>
      </c>
      <c r="O19" s="2" t="str">
        <f>IF(Footer[[#This Row],[Column8]]&lt;&gt;"","XXX","")</f>
        <v>XXX</v>
      </c>
      <c r="P19" s="2" t="str">
        <f>IF(Footer[[#This Row],[Column9]]&lt;&gt;"","XXX","")</f>
        <v>XXX</v>
      </c>
      <c r="Q19" s="2" t="str">
        <f>IF(Footer[[#This Row],[Column10]]&lt;&gt;"","XXX","")</f>
        <v>XXX</v>
      </c>
      <c r="R19" s="2" t="str">
        <f>IF(Footer[[#This Row],[Column11]]&lt;&gt;"","XXX","")</f>
        <v>XXX</v>
      </c>
      <c r="S19" s="2" t="str">
        <f>IF(Footer[[#This Row],[Column12]]&lt;&gt;"","XXX","")</f>
        <v>XXX</v>
      </c>
      <c r="T19" s="2" t="str">
        <f>IF(Footer[[#This Row],[Column13]]&lt;&gt;"","XXX","")</f>
        <v>XXX</v>
      </c>
      <c r="U19" s="2" t="str">
        <f>IF(Footer[[#This Row],[Column14]]&lt;&gt;"","XXX","")</f>
        <v>XXX</v>
      </c>
      <c r="V19" s="2" t="str">
        <f>IF(Footer[[#This Row],[Column15]]&lt;&gt;"","XXX","")</f>
        <v>XXX</v>
      </c>
      <c r="W19" s="2" t="str">
        <f>IF(Footer[[#This Row],[Column16]]&lt;&gt;"","XXX","")</f>
        <v>XXX</v>
      </c>
      <c r="X19" s="2" t="str">
        <f>IF(Footer[[#This Row],[Column17]]&lt;&gt;"","XXX","")</f>
        <v>XXX</v>
      </c>
      <c r="Y19" s="2" t="str">
        <f>IF(Footer[[#This Row],[Column18]]&lt;&gt;"","XXX","")</f>
        <v>XXX</v>
      </c>
      <c r="Z19" s="2" t="str">
        <f>IF(Footer[[#This Row],[Column19]]&lt;&gt;"","XXX","")</f>
        <v>XXX</v>
      </c>
      <c r="AA19" s="2" t="str">
        <f>IF(Footer[[#This Row],[Column20]]&lt;&gt;"","XXX","")</f>
        <v>XXX</v>
      </c>
      <c r="AB19" s="2" t="str">
        <f>IF(Footer[[#This Row],[Column21]]&lt;&gt;"","XXX","")</f>
        <v>XXX</v>
      </c>
      <c r="AC19" s="2" t="str">
        <f>IF(Footer[[#This Row],[Column22]]&lt;&gt;"","XXX","")</f>
        <v>XXX</v>
      </c>
      <c r="AD19" s="2" t="str">
        <f>IF(Footer[[#This Row],[Column23]]&lt;&gt;"","XXX","")</f>
        <v>XXX</v>
      </c>
      <c r="AE19" s="2" t="str">
        <f>IF(Footer[[#This Row],[Column24]]&lt;&gt;"","XXX","")</f>
        <v>XXX</v>
      </c>
      <c r="AF19" s="2" t="str">
        <f>IF(Footer[[#This Row],[Column25]]&lt;&gt;"","XXX","")</f>
        <v>XXX</v>
      </c>
      <c r="AG19" s="2" t="str">
        <f>IF(Footer[[#This Row],[Column26]]&lt;&gt;"","XXX","")</f>
        <v>XXX</v>
      </c>
      <c r="AH19" s="2" t="str">
        <f>IF(Footer[[#This Row],[Column27]]&lt;&gt;"","XXX","")</f>
        <v>XXX</v>
      </c>
      <c r="AI19" s="2" t="str">
        <f>IF(Footer[[#This Row],[Column28]]&lt;&gt;"","XXX","")</f>
        <v>XXX</v>
      </c>
      <c r="AJ19" s="2" t="str">
        <f>IF(Footer[[#This Row],[Column29]]&lt;&gt;"","XXX","")</f>
        <v>XXX</v>
      </c>
      <c r="AK19" s="2" t="str">
        <f>IF(Footer[[#This Row],[Column30]]&lt;&gt;"","XXX","")</f>
        <v>XXX</v>
      </c>
      <c r="AL19" s="2" t="str">
        <f>IF(Footer[[#This Row],[Column31]]&lt;&gt;"","XXX","")</f>
        <v>XXX</v>
      </c>
      <c r="AM19" s="2" t="str">
        <f>IF(Footer[[#This Row],[Column32]]&lt;&gt;"","XXX","")</f>
        <v>XXX</v>
      </c>
      <c r="AN19" s="2" t="str">
        <f>IF(Footer[[#This Row],[Column33]]&lt;&gt;"","XXX","")</f>
        <v>XXX</v>
      </c>
      <c r="AO19" s="2" t="str">
        <f>IF(Footer[[#This Row],[Column34]]&lt;&gt;"","XXX","")</f>
        <v>XXX</v>
      </c>
      <c r="AP19" s="2" t="str">
        <f>IF(Footer[[#This Row],[Column35]]&lt;&gt;"","XXX","")</f>
        <v>XXX</v>
      </c>
      <c r="AQ19" s="2" t="str">
        <f>IF(Footer[[#This Row],[Column36]]&lt;&gt;"","XXX","")</f>
        <v>XXX</v>
      </c>
      <c r="AR19" s="2" t="str">
        <f>IF(Footer[[#This Row],[Column37]]&lt;&gt;"","XXX","")</f>
        <v>XXX</v>
      </c>
      <c r="AS19" s="2" t="str">
        <f>IF(Footer[[#This Row],[Column38]]&lt;&gt;"","XXX","")</f>
        <v>XXX</v>
      </c>
      <c r="AT19" s="2" t="str">
        <f>IF(Footer[[#This Row],[Column39]]&lt;&gt;"","XXX","")</f>
        <v>XXX</v>
      </c>
      <c r="AU19" s="2" t="str">
        <f>IF(Footer[[#This Row],[Column40]]&lt;&gt;"","XXX","")</f>
        <v>XXX</v>
      </c>
      <c r="AV19" s="2" t="str">
        <f>IF(Footer[[#This Row],[Column41]]&lt;&gt;"","XXX","")</f>
        <v>XXX</v>
      </c>
      <c r="AW19" s="6" t="str">
        <f>IF(Footer[[#This Row],[Column42]]&lt;&gt;"","XXX","")</f>
        <v>XXX</v>
      </c>
      <c r="AX19" s="2" t="str">
        <f>IF(Footer[[#This Row],[Column43]]&lt;&gt;"","XXX","")</f>
        <v>XXX</v>
      </c>
      <c r="AY19" s="2" t="str">
        <f>IF(Footer[[#This Row],[Column44]]&lt;&gt;"","XXX","")</f>
        <v>XXX</v>
      </c>
      <c r="AZ19" s="2" t="str">
        <f>IF(Footer[[#This Row],[Column45]]&lt;&gt;"","XXX","")</f>
        <v>XXX</v>
      </c>
      <c r="BA19" s="2" t="str">
        <f>IF(Footer[[#This Row],[Column46]]&lt;&gt;"","XXX","")</f>
        <v>XXX</v>
      </c>
      <c r="BB19" s="2" t="str">
        <f>IF(Footer[[#This Row],[Column47]]&lt;&gt;"","XXX","")</f>
        <v>XXX</v>
      </c>
      <c r="BC19" s="2" t="str">
        <f>IF(Footer[[#This Row],[Column48]]&lt;&gt;"","XXX","")</f>
        <v>XXX</v>
      </c>
      <c r="BD19" s="2" t="str">
        <f>IF(Footer[[#This Row],[Column49]]&lt;&gt;"","XXX","")</f>
        <v>XXX</v>
      </c>
      <c r="BE19" s="2" t="str">
        <f>IF(Footer[[#This Row],[Column50]]&lt;&gt;"","XXX","")</f>
        <v>XXX</v>
      </c>
      <c r="BF19" s="2" t="str">
        <f>IF(Footer[[#This Row],[Column51]]&lt;&gt;"","XXX","")</f>
        <v>XXX</v>
      </c>
      <c r="BG19" s="2" t="str">
        <f>IF(Footer[[#This Row],[Column52]]&lt;&gt;"","XXX","")</f>
        <v>XXX</v>
      </c>
      <c r="BH19" s="2" t="str">
        <f>IF(Footer[[#This Row],[Column53]]&lt;&gt;"","XXX","")</f>
        <v>XXX</v>
      </c>
      <c r="BI19" s="2" t="str">
        <f>IF(Footer[[#This Row],[Column54]]&lt;&gt;"","XXX","")</f>
        <v>XXX</v>
      </c>
      <c r="BJ19" s="6" t="str">
        <f>IF(Footer[[#This Row],[Column1]]&lt;&gt;"",SUBSTITUTE(_xlfn.TEXTJOIN(",",TRUE,Footer[[#This Row],[Column1]:[Column61]]),"XXX",""),"")</f>
        <v>Data,0,exercise_title,wkt_step_name,Seated Alternating Dumbbell Biceps Curl,,message_index,4,,exercise_category,7,,exercise_name,32,,,,,,,,,,,,,,,,,,,,,,,,,,,,,,,,,,,,,,,,,,,,,,,</v>
      </c>
    </row>
    <row r="20" spans="1:62" x14ac:dyDescent="0.25">
      <c r="A20" s="2" t="str">
        <f>IF(Footer[[#This Row],[Column8]]&lt;&gt;"","Data","")</f>
        <v>Data</v>
      </c>
      <c r="B20" s="2" t="str">
        <f>IF(Footer[[#This Row],[Column8]]&lt;&gt;"","0","")</f>
        <v>0</v>
      </c>
      <c r="C20" s="2" t="str">
        <f>IF(Footer[[#This Row],[Column8]]&lt;&gt;"","exercise_title","")</f>
        <v>exercise_title</v>
      </c>
      <c r="D20" s="2" t="str">
        <f>IF(Footer[[#This Row],[Column8]]&lt;&gt;"","wkt_step_name","")</f>
        <v>wkt_step_name</v>
      </c>
      <c r="E20" s="4" t="str" cm="1">
        <f t="array" ref="E20">IFERROR(INDEX(_xlfn.UNIQUE(_xlfn._xlws.FILTER(Data[Exercise],Data[Exercise]&lt;&gt;""),FALSE,FALSE),ROW(Footer[[#This Row],[Column5]])-ROW($E$14),1),"")</f>
        <v>Dumbbell Kick-back</v>
      </c>
      <c r="F20" s="2" t="str">
        <f>IF(Footer[[#This Row],[Column5]]&lt;&gt;"","XXX","")</f>
        <v>XXX</v>
      </c>
      <c r="G20" s="2" t="str">
        <f>IF(Footer[[#This Row],[Column8]]&lt;&gt;"","message_index","")</f>
        <v>message_index</v>
      </c>
      <c r="H20" s="4">
        <f>IF(Footer[[#This Row],[Column5]]&lt;&gt;"",ROW(Footer[[#This Row],[Column5]])-ROW($E$15),"")</f>
        <v>5</v>
      </c>
      <c r="I20" s="2" t="str">
        <f>IF(Footer[[#This Row],[Column8]]&lt;&gt;"","XXX","")</f>
        <v>XXX</v>
      </c>
      <c r="J20" s="2" t="str">
        <f>IF(Footer[[#This Row],[Column8]]&lt;&gt;"","exercise_category","")</f>
        <v>exercise_category</v>
      </c>
      <c r="K20" s="4">
        <f>IF(Footer[[#This Row],[Column8]]&lt;&gt;"",VLOOKUP(Footer[[#This Row],[Column5]],Table_Exercises[],2,FALSE),"")</f>
        <v>30</v>
      </c>
      <c r="L20" s="2" t="str">
        <f>IF(Footer[[#This Row],[Column11]]&lt;&gt;"","XXX","")</f>
        <v>XXX</v>
      </c>
      <c r="M20" s="2" t="str">
        <f>IF(AND(Footer[[#This Row],[Column8]]&lt;&gt;"",Footer[[#This Row],[Column14]]&lt;&gt;""),"exercise_name","")</f>
        <v>exercise_name</v>
      </c>
      <c r="N20" s="4">
        <f>IF(Footer[[#This Row],[Column8]]&lt;&gt;"",IF(VLOOKUP(Footer[[#This Row],[Column5]],Table_Exercises[],3,FALSE)="/","XXX",VLOOKUP(Footer[[#This Row],[Column5]],Table_Exercises[],3,FALSE)),"")</f>
        <v>6</v>
      </c>
      <c r="O20" s="2" t="str">
        <f>IF(Footer[[#This Row],[Column8]]&lt;&gt;"","XXX","")</f>
        <v>XXX</v>
      </c>
      <c r="P20" s="2" t="str">
        <f>IF(Footer[[#This Row],[Column9]]&lt;&gt;"","XXX","")</f>
        <v>XXX</v>
      </c>
      <c r="Q20" s="2" t="str">
        <f>IF(Footer[[#This Row],[Column10]]&lt;&gt;"","XXX","")</f>
        <v>XXX</v>
      </c>
      <c r="R20" s="2" t="str">
        <f>IF(Footer[[#This Row],[Column11]]&lt;&gt;"","XXX","")</f>
        <v>XXX</v>
      </c>
      <c r="S20" s="2" t="str">
        <f>IF(Footer[[#This Row],[Column12]]&lt;&gt;"","XXX","")</f>
        <v>XXX</v>
      </c>
      <c r="T20" s="2" t="str">
        <f>IF(Footer[[#This Row],[Column13]]&lt;&gt;"","XXX","")</f>
        <v>XXX</v>
      </c>
      <c r="U20" s="2" t="str">
        <f>IF(Footer[[#This Row],[Column14]]&lt;&gt;"","XXX","")</f>
        <v>XXX</v>
      </c>
      <c r="V20" s="2" t="str">
        <f>IF(Footer[[#This Row],[Column15]]&lt;&gt;"","XXX","")</f>
        <v>XXX</v>
      </c>
      <c r="W20" s="2" t="str">
        <f>IF(Footer[[#This Row],[Column16]]&lt;&gt;"","XXX","")</f>
        <v>XXX</v>
      </c>
      <c r="X20" s="2" t="str">
        <f>IF(Footer[[#This Row],[Column17]]&lt;&gt;"","XXX","")</f>
        <v>XXX</v>
      </c>
      <c r="Y20" s="2" t="str">
        <f>IF(Footer[[#This Row],[Column18]]&lt;&gt;"","XXX","")</f>
        <v>XXX</v>
      </c>
      <c r="Z20" s="2" t="str">
        <f>IF(Footer[[#This Row],[Column19]]&lt;&gt;"","XXX","")</f>
        <v>XXX</v>
      </c>
      <c r="AA20" s="2" t="str">
        <f>IF(Footer[[#This Row],[Column20]]&lt;&gt;"","XXX","")</f>
        <v>XXX</v>
      </c>
      <c r="AB20" s="2" t="str">
        <f>IF(Footer[[#This Row],[Column21]]&lt;&gt;"","XXX","")</f>
        <v>XXX</v>
      </c>
      <c r="AC20" s="2" t="str">
        <f>IF(Footer[[#This Row],[Column22]]&lt;&gt;"","XXX","")</f>
        <v>XXX</v>
      </c>
      <c r="AD20" s="2" t="str">
        <f>IF(Footer[[#This Row],[Column23]]&lt;&gt;"","XXX","")</f>
        <v>XXX</v>
      </c>
      <c r="AE20" s="2" t="str">
        <f>IF(Footer[[#This Row],[Column24]]&lt;&gt;"","XXX","")</f>
        <v>XXX</v>
      </c>
      <c r="AF20" s="2" t="str">
        <f>IF(Footer[[#This Row],[Column25]]&lt;&gt;"","XXX","")</f>
        <v>XXX</v>
      </c>
      <c r="AG20" s="2" t="str">
        <f>IF(Footer[[#This Row],[Column26]]&lt;&gt;"","XXX","")</f>
        <v>XXX</v>
      </c>
      <c r="AH20" s="2" t="str">
        <f>IF(Footer[[#This Row],[Column27]]&lt;&gt;"","XXX","")</f>
        <v>XXX</v>
      </c>
      <c r="AI20" s="2" t="str">
        <f>IF(Footer[[#This Row],[Column28]]&lt;&gt;"","XXX","")</f>
        <v>XXX</v>
      </c>
      <c r="AJ20" s="2" t="str">
        <f>IF(Footer[[#This Row],[Column29]]&lt;&gt;"","XXX","")</f>
        <v>XXX</v>
      </c>
      <c r="AK20" s="2" t="str">
        <f>IF(Footer[[#This Row],[Column30]]&lt;&gt;"","XXX","")</f>
        <v>XXX</v>
      </c>
      <c r="AL20" s="2" t="str">
        <f>IF(Footer[[#This Row],[Column31]]&lt;&gt;"","XXX","")</f>
        <v>XXX</v>
      </c>
      <c r="AM20" s="2" t="str">
        <f>IF(Footer[[#This Row],[Column32]]&lt;&gt;"","XXX","")</f>
        <v>XXX</v>
      </c>
      <c r="AN20" s="2" t="str">
        <f>IF(Footer[[#This Row],[Column33]]&lt;&gt;"","XXX","")</f>
        <v>XXX</v>
      </c>
      <c r="AO20" s="2" t="str">
        <f>IF(Footer[[#This Row],[Column34]]&lt;&gt;"","XXX","")</f>
        <v>XXX</v>
      </c>
      <c r="AP20" s="2" t="str">
        <f>IF(Footer[[#This Row],[Column35]]&lt;&gt;"","XXX","")</f>
        <v>XXX</v>
      </c>
      <c r="AQ20" s="2" t="str">
        <f>IF(Footer[[#This Row],[Column36]]&lt;&gt;"","XXX","")</f>
        <v>XXX</v>
      </c>
      <c r="AR20" s="2" t="str">
        <f>IF(Footer[[#This Row],[Column37]]&lt;&gt;"","XXX","")</f>
        <v>XXX</v>
      </c>
      <c r="AS20" s="2" t="str">
        <f>IF(Footer[[#This Row],[Column38]]&lt;&gt;"","XXX","")</f>
        <v>XXX</v>
      </c>
      <c r="AT20" s="2" t="str">
        <f>IF(Footer[[#This Row],[Column39]]&lt;&gt;"","XXX","")</f>
        <v>XXX</v>
      </c>
      <c r="AU20" s="2" t="str">
        <f>IF(Footer[[#This Row],[Column40]]&lt;&gt;"","XXX","")</f>
        <v>XXX</v>
      </c>
      <c r="AV20" s="2" t="str">
        <f>IF(Footer[[#This Row],[Column41]]&lt;&gt;"","XXX","")</f>
        <v>XXX</v>
      </c>
      <c r="AW20" s="6" t="str">
        <f>IF(Footer[[#This Row],[Column42]]&lt;&gt;"","XXX","")</f>
        <v>XXX</v>
      </c>
      <c r="AX20" s="2" t="str">
        <f>IF(Footer[[#This Row],[Column43]]&lt;&gt;"","XXX","")</f>
        <v>XXX</v>
      </c>
      <c r="AY20" s="2" t="str">
        <f>IF(Footer[[#This Row],[Column44]]&lt;&gt;"","XXX","")</f>
        <v>XXX</v>
      </c>
      <c r="AZ20" s="2" t="str">
        <f>IF(Footer[[#This Row],[Column45]]&lt;&gt;"","XXX","")</f>
        <v>XXX</v>
      </c>
      <c r="BA20" s="2" t="str">
        <f>IF(Footer[[#This Row],[Column46]]&lt;&gt;"","XXX","")</f>
        <v>XXX</v>
      </c>
      <c r="BB20" s="2" t="str">
        <f>IF(Footer[[#This Row],[Column47]]&lt;&gt;"","XXX","")</f>
        <v>XXX</v>
      </c>
      <c r="BC20" s="2" t="str">
        <f>IF(Footer[[#This Row],[Column48]]&lt;&gt;"","XXX","")</f>
        <v>XXX</v>
      </c>
      <c r="BD20" s="2" t="str">
        <f>IF(Footer[[#This Row],[Column49]]&lt;&gt;"","XXX","")</f>
        <v>XXX</v>
      </c>
      <c r="BE20" s="2" t="str">
        <f>IF(Footer[[#This Row],[Column50]]&lt;&gt;"","XXX","")</f>
        <v>XXX</v>
      </c>
      <c r="BF20" s="2" t="str">
        <f>IF(Footer[[#This Row],[Column51]]&lt;&gt;"","XXX","")</f>
        <v>XXX</v>
      </c>
      <c r="BG20" s="2" t="str">
        <f>IF(Footer[[#This Row],[Column52]]&lt;&gt;"","XXX","")</f>
        <v>XXX</v>
      </c>
      <c r="BH20" s="2" t="str">
        <f>IF(Footer[[#This Row],[Column53]]&lt;&gt;"","XXX","")</f>
        <v>XXX</v>
      </c>
      <c r="BI20" s="2" t="str">
        <f>IF(Footer[[#This Row],[Column54]]&lt;&gt;"","XXX","")</f>
        <v>XXX</v>
      </c>
      <c r="BJ20" s="6" t="str">
        <f>IF(Footer[[#This Row],[Column1]]&lt;&gt;"",SUBSTITUTE(_xlfn.TEXTJOIN(",",TRUE,Footer[[#This Row],[Column1]:[Column61]]),"XXX",""),"")</f>
        <v>Data,0,exercise_title,wkt_step_name,Dumbbell Kick-back,,message_index,5,,exercise_category,30,,exercise_name,6,,,,,,,,,,,,,,,,,,,,,,,,,,,,,,,,,,,,,,,,,,,,,,,</v>
      </c>
    </row>
    <row r="21" spans="1:62" x14ac:dyDescent="0.25">
      <c r="A21" s="2" t="str">
        <f>IF(Footer[[#This Row],[Column8]]&lt;&gt;"","Data","")</f>
        <v>Data</v>
      </c>
      <c r="B21" s="2" t="str">
        <f>IF(Footer[[#This Row],[Column8]]&lt;&gt;"","0","")</f>
        <v>0</v>
      </c>
      <c r="C21" s="2" t="str">
        <f>IF(Footer[[#This Row],[Column8]]&lt;&gt;"","exercise_title","")</f>
        <v>exercise_title</v>
      </c>
      <c r="D21" s="2" t="str">
        <f>IF(Footer[[#This Row],[Column8]]&lt;&gt;"","wkt_step_name","")</f>
        <v>wkt_step_name</v>
      </c>
      <c r="E21" s="4" t="str" cm="1">
        <f t="array" ref="E21">IFERROR(INDEX(_xlfn.UNIQUE(_xlfn._xlws.FILTER(Data[Exercise],Data[Exercise]&lt;&gt;""),FALSE,FALSE),ROW(Footer[[#This Row],[Column5]])-ROW($E$14),1),"")</f>
        <v>Goblet Squat</v>
      </c>
      <c r="F21" s="2" t="str">
        <f>IF(Footer[[#This Row],[Column5]]&lt;&gt;"","XXX","")</f>
        <v>XXX</v>
      </c>
      <c r="G21" s="2" t="str">
        <f>IF(Footer[[#This Row],[Column8]]&lt;&gt;"","message_index","")</f>
        <v>message_index</v>
      </c>
      <c r="H21" s="4">
        <f>IF(Footer[[#This Row],[Column5]]&lt;&gt;"",ROW(Footer[[#This Row],[Column5]])-ROW($E$15),"")</f>
        <v>6</v>
      </c>
      <c r="I21" s="2" t="str">
        <f>IF(Footer[[#This Row],[Column8]]&lt;&gt;"","XXX","")</f>
        <v>XXX</v>
      </c>
      <c r="J21" s="2" t="str">
        <f>IF(Footer[[#This Row],[Column8]]&lt;&gt;"","exercise_category","")</f>
        <v>exercise_category</v>
      </c>
      <c r="K21" s="4">
        <f>IF(Footer[[#This Row],[Column8]]&lt;&gt;"",VLOOKUP(Footer[[#This Row],[Column5]],Table_Exercises[],2,FALSE),"")</f>
        <v>28</v>
      </c>
      <c r="L21" s="2" t="str">
        <f>IF(Footer[[#This Row],[Column11]]&lt;&gt;"","XXX","")</f>
        <v>XXX</v>
      </c>
      <c r="M21" s="2" t="str">
        <f>IF(AND(Footer[[#This Row],[Column8]]&lt;&gt;"",Footer[[#This Row],[Column14]]&lt;&gt;""),"exercise_name","")</f>
        <v>exercise_name</v>
      </c>
      <c r="N21" s="4">
        <f>IF(Footer[[#This Row],[Column8]]&lt;&gt;"",IF(VLOOKUP(Footer[[#This Row],[Column5]],Table_Exercises[],3,FALSE)="/","XXX",VLOOKUP(Footer[[#This Row],[Column5]],Table_Exercises[],3,FALSE)),"")</f>
        <v>37</v>
      </c>
      <c r="O21" s="2" t="str">
        <f>IF(Footer[[#This Row],[Column8]]&lt;&gt;"","XXX","")</f>
        <v>XXX</v>
      </c>
      <c r="P21" s="2" t="str">
        <f>IF(Footer[[#This Row],[Column9]]&lt;&gt;"","XXX","")</f>
        <v>XXX</v>
      </c>
      <c r="Q21" s="2" t="str">
        <f>IF(Footer[[#This Row],[Column10]]&lt;&gt;"","XXX","")</f>
        <v>XXX</v>
      </c>
      <c r="R21" s="2" t="str">
        <f>IF(Footer[[#This Row],[Column11]]&lt;&gt;"","XXX","")</f>
        <v>XXX</v>
      </c>
      <c r="S21" s="2" t="str">
        <f>IF(Footer[[#This Row],[Column12]]&lt;&gt;"","XXX","")</f>
        <v>XXX</v>
      </c>
      <c r="T21" s="2" t="str">
        <f>IF(Footer[[#This Row],[Column13]]&lt;&gt;"","XXX","")</f>
        <v>XXX</v>
      </c>
      <c r="U21" s="2" t="str">
        <f>IF(Footer[[#This Row],[Column14]]&lt;&gt;"","XXX","")</f>
        <v>XXX</v>
      </c>
      <c r="V21" s="2" t="str">
        <f>IF(Footer[[#This Row],[Column15]]&lt;&gt;"","XXX","")</f>
        <v>XXX</v>
      </c>
      <c r="W21" s="2" t="str">
        <f>IF(Footer[[#This Row],[Column16]]&lt;&gt;"","XXX","")</f>
        <v>XXX</v>
      </c>
      <c r="X21" s="2" t="str">
        <f>IF(Footer[[#This Row],[Column17]]&lt;&gt;"","XXX","")</f>
        <v>XXX</v>
      </c>
      <c r="Y21" s="2" t="str">
        <f>IF(Footer[[#This Row],[Column18]]&lt;&gt;"","XXX","")</f>
        <v>XXX</v>
      </c>
      <c r="Z21" s="2" t="str">
        <f>IF(Footer[[#This Row],[Column19]]&lt;&gt;"","XXX","")</f>
        <v>XXX</v>
      </c>
      <c r="AA21" s="2" t="str">
        <f>IF(Footer[[#This Row],[Column20]]&lt;&gt;"","XXX","")</f>
        <v>XXX</v>
      </c>
      <c r="AB21" s="2" t="str">
        <f>IF(Footer[[#This Row],[Column21]]&lt;&gt;"","XXX","")</f>
        <v>XXX</v>
      </c>
      <c r="AC21" s="2" t="str">
        <f>IF(Footer[[#This Row],[Column22]]&lt;&gt;"","XXX","")</f>
        <v>XXX</v>
      </c>
      <c r="AD21" s="2" t="str">
        <f>IF(Footer[[#This Row],[Column23]]&lt;&gt;"","XXX","")</f>
        <v>XXX</v>
      </c>
      <c r="AE21" s="2" t="str">
        <f>IF(Footer[[#This Row],[Column24]]&lt;&gt;"","XXX","")</f>
        <v>XXX</v>
      </c>
      <c r="AF21" s="2" t="str">
        <f>IF(Footer[[#This Row],[Column25]]&lt;&gt;"","XXX","")</f>
        <v>XXX</v>
      </c>
      <c r="AG21" s="2" t="str">
        <f>IF(Footer[[#This Row],[Column26]]&lt;&gt;"","XXX","")</f>
        <v>XXX</v>
      </c>
      <c r="AH21" s="2" t="str">
        <f>IF(Footer[[#This Row],[Column27]]&lt;&gt;"","XXX","")</f>
        <v>XXX</v>
      </c>
      <c r="AI21" s="2" t="str">
        <f>IF(Footer[[#This Row],[Column28]]&lt;&gt;"","XXX","")</f>
        <v>XXX</v>
      </c>
      <c r="AJ21" s="2" t="str">
        <f>IF(Footer[[#This Row],[Column29]]&lt;&gt;"","XXX","")</f>
        <v>XXX</v>
      </c>
      <c r="AK21" s="2" t="str">
        <f>IF(Footer[[#This Row],[Column30]]&lt;&gt;"","XXX","")</f>
        <v>XXX</v>
      </c>
      <c r="AL21" s="2" t="str">
        <f>IF(Footer[[#This Row],[Column31]]&lt;&gt;"","XXX","")</f>
        <v>XXX</v>
      </c>
      <c r="AM21" s="2" t="str">
        <f>IF(Footer[[#This Row],[Column32]]&lt;&gt;"","XXX","")</f>
        <v>XXX</v>
      </c>
      <c r="AN21" s="2" t="str">
        <f>IF(Footer[[#This Row],[Column33]]&lt;&gt;"","XXX","")</f>
        <v>XXX</v>
      </c>
      <c r="AO21" s="2" t="str">
        <f>IF(Footer[[#This Row],[Column34]]&lt;&gt;"","XXX","")</f>
        <v>XXX</v>
      </c>
      <c r="AP21" s="2" t="str">
        <f>IF(Footer[[#This Row],[Column35]]&lt;&gt;"","XXX","")</f>
        <v>XXX</v>
      </c>
      <c r="AQ21" s="2" t="str">
        <f>IF(Footer[[#This Row],[Column36]]&lt;&gt;"","XXX","")</f>
        <v>XXX</v>
      </c>
      <c r="AR21" s="2" t="str">
        <f>IF(Footer[[#This Row],[Column37]]&lt;&gt;"","XXX","")</f>
        <v>XXX</v>
      </c>
      <c r="AS21" s="2" t="str">
        <f>IF(Footer[[#This Row],[Column38]]&lt;&gt;"","XXX","")</f>
        <v>XXX</v>
      </c>
      <c r="AT21" s="2" t="str">
        <f>IF(Footer[[#This Row],[Column39]]&lt;&gt;"","XXX","")</f>
        <v>XXX</v>
      </c>
      <c r="AU21" s="2" t="str">
        <f>IF(Footer[[#This Row],[Column40]]&lt;&gt;"","XXX","")</f>
        <v>XXX</v>
      </c>
      <c r="AV21" s="2" t="str">
        <f>IF(Footer[[#This Row],[Column41]]&lt;&gt;"","XXX","")</f>
        <v>XXX</v>
      </c>
      <c r="AW21" s="6" t="str">
        <f>IF(Footer[[#This Row],[Column42]]&lt;&gt;"","XXX","")</f>
        <v>XXX</v>
      </c>
      <c r="AX21" s="2" t="str">
        <f>IF(Footer[[#This Row],[Column43]]&lt;&gt;"","XXX","")</f>
        <v>XXX</v>
      </c>
      <c r="AY21" s="2" t="str">
        <f>IF(Footer[[#This Row],[Column44]]&lt;&gt;"","XXX","")</f>
        <v>XXX</v>
      </c>
      <c r="AZ21" s="2" t="str">
        <f>IF(Footer[[#This Row],[Column45]]&lt;&gt;"","XXX","")</f>
        <v>XXX</v>
      </c>
      <c r="BA21" s="2" t="str">
        <f>IF(Footer[[#This Row],[Column46]]&lt;&gt;"","XXX","")</f>
        <v>XXX</v>
      </c>
      <c r="BB21" s="2" t="str">
        <f>IF(Footer[[#This Row],[Column47]]&lt;&gt;"","XXX","")</f>
        <v>XXX</v>
      </c>
      <c r="BC21" s="2" t="str">
        <f>IF(Footer[[#This Row],[Column48]]&lt;&gt;"","XXX","")</f>
        <v>XXX</v>
      </c>
      <c r="BD21" s="2" t="str">
        <f>IF(Footer[[#This Row],[Column49]]&lt;&gt;"","XXX","")</f>
        <v>XXX</v>
      </c>
      <c r="BE21" s="2" t="str">
        <f>IF(Footer[[#This Row],[Column50]]&lt;&gt;"","XXX","")</f>
        <v>XXX</v>
      </c>
      <c r="BF21" s="2" t="str">
        <f>IF(Footer[[#This Row],[Column51]]&lt;&gt;"","XXX","")</f>
        <v>XXX</v>
      </c>
      <c r="BG21" s="2" t="str">
        <f>IF(Footer[[#This Row],[Column52]]&lt;&gt;"","XXX","")</f>
        <v>XXX</v>
      </c>
      <c r="BH21" s="2" t="str">
        <f>IF(Footer[[#This Row],[Column53]]&lt;&gt;"","XXX","")</f>
        <v>XXX</v>
      </c>
      <c r="BI21" s="2" t="str">
        <f>IF(Footer[[#This Row],[Column54]]&lt;&gt;"","XXX","")</f>
        <v>XXX</v>
      </c>
      <c r="BJ21" s="6" t="str">
        <f>IF(Footer[[#This Row],[Column1]]&lt;&gt;"",SUBSTITUTE(_xlfn.TEXTJOIN(",",TRUE,Footer[[#This Row],[Column1]:[Column61]]),"XXX",""),"")</f>
        <v>Data,0,exercise_title,wkt_step_name,Goblet Squat,,message_index,6,,exercise_category,28,,exercise_name,37,,,,,,,,,,,,,,,,,,,,,,,,,,,,,,,,,,,,,,,,,,,,,,,</v>
      </c>
    </row>
    <row r="22" spans="1:62" x14ac:dyDescent="0.25">
      <c r="A22" s="2" t="str">
        <f>IF(Footer[[#This Row],[Column8]]&lt;&gt;"","Data","")</f>
        <v>Data</v>
      </c>
      <c r="B22" s="2" t="str">
        <f>IF(Footer[[#This Row],[Column8]]&lt;&gt;"","0","")</f>
        <v>0</v>
      </c>
      <c r="C22" s="2" t="str">
        <f>IF(Footer[[#This Row],[Column8]]&lt;&gt;"","exercise_title","")</f>
        <v>exercise_title</v>
      </c>
      <c r="D22" s="2" t="str">
        <f>IF(Footer[[#This Row],[Column8]]&lt;&gt;"","wkt_step_name","")</f>
        <v>wkt_step_name</v>
      </c>
      <c r="E22" s="4" t="str" cm="1">
        <f t="array" ref="E22">IFERROR(INDEX(_xlfn.UNIQUE(_xlfn._xlws.FILTER(Data[Exercise],Data[Exercise]&lt;&gt;""),FALSE,FALSE),ROW(Footer[[#This Row],[Column5]])-ROW($E$14),1),"")</f>
        <v>Plank</v>
      </c>
      <c r="F22" s="2" t="str">
        <f>IF(Footer[[#This Row],[Column5]]&lt;&gt;"","XXX","")</f>
        <v>XXX</v>
      </c>
      <c r="G22" s="2" t="str">
        <f>IF(Footer[[#This Row],[Column8]]&lt;&gt;"","message_index","")</f>
        <v>message_index</v>
      </c>
      <c r="H22" s="4">
        <f>IF(Footer[[#This Row],[Column5]]&lt;&gt;"",ROW(Footer[[#This Row],[Column5]])-ROW($E$15),"")</f>
        <v>7</v>
      </c>
      <c r="I22" s="2" t="str">
        <f>IF(Footer[[#This Row],[Column8]]&lt;&gt;"","XXX","")</f>
        <v>XXX</v>
      </c>
      <c r="J22" s="2" t="str">
        <f>IF(Footer[[#This Row],[Column8]]&lt;&gt;"","exercise_category","")</f>
        <v>exercise_category</v>
      </c>
      <c r="K22" s="4">
        <f>IF(Footer[[#This Row],[Column8]]&lt;&gt;"",VLOOKUP(Footer[[#This Row],[Column5]],Table_Exercises[],2,FALSE),"")</f>
        <v>19</v>
      </c>
      <c r="L22" s="2" t="str">
        <f>IF(Footer[[#This Row],[Column11]]&lt;&gt;"","XXX","")</f>
        <v>XXX</v>
      </c>
      <c r="M22" s="2" t="str">
        <f>IF(AND(Footer[[#This Row],[Column8]]&lt;&gt;"",Footer[[#This Row],[Column14]]&lt;&gt;""),"exercise_name","")</f>
        <v>exercise_name</v>
      </c>
      <c r="N22" s="4" t="str">
        <f>IF(Footer[[#This Row],[Column8]]&lt;&gt;"",IF(VLOOKUP(Footer[[#This Row],[Column5]],Table_Exercises[],3,FALSE)="/","XXX",VLOOKUP(Footer[[#This Row],[Column5]],Table_Exercises[],3,FALSE)),"")</f>
        <v>XXX</v>
      </c>
      <c r="O22" s="2" t="str">
        <f>IF(Footer[[#This Row],[Column8]]&lt;&gt;"","XXX","")</f>
        <v>XXX</v>
      </c>
      <c r="P22" s="2" t="str">
        <f>IF(Footer[[#This Row],[Column9]]&lt;&gt;"","XXX","")</f>
        <v>XXX</v>
      </c>
      <c r="Q22" s="2" t="str">
        <f>IF(Footer[[#This Row],[Column10]]&lt;&gt;"","XXX","")</f>
        <v>XXX</v>
      </c>
      <c r="R22" s="2" t="str">
        <f>IF(Footer[[#This Row],[Column11]]&lt;&gt;"","XXX","")</f>
        <v>XXX</v>
      </c>
      <c r="S22" s="2" t="str">
        <f>IF(Footer[[#This Row],[Column12]]&lt;&gt;"","XXX","")</f>
        <v>XXX</v>
      </c>
      <c r="T22" s="2" t="str">
        <f>IF(Footer[[#This Row],[Column13]]&lt;&gt;"","XXX","")</f>
        <v>XXX</v>
      </c>
      <c r="U22" s="2" t="str">
        <f>IF(Footer[[#This Row],[Column14]]&lt;&gt;"","XXX","")</f>
        <v>XXX</v>
      </c>
      <c r="V22" s="2" t="str">
        <f>IF(Footer[[#This Row],[Column15]]&lt;&gt;"","XXX","")</f>
        <v>XXX</v>
      </c>
      <c r="W22" s="2" t="str">
        <f>IF(Footer[[#This Row],[Column16]]&lt;&gt;"","XXX","")</f>
        <v>XXX</v>
      </c>
      <c r="X22" s="2" t="str">
        <f>IF(Footer[[#This Row],[Column17]]&lt;&gt;"","XXX","")</f>
        <v>XXX</v>
      </c>
      <c r="Y22" s="2" t="str">
        <f>IF(Footer[[#This Row],[Column18]]&lt;&gt;"","XXX","")</f>
        <v>XXX</v>
      </c>
      <c r="Z22" s="2" t="str">
        <f>IF(Footer[[#This Row],[Column19]]&lt;&gt;"","XXX","")</f>
        <v>XXX</v>
      </c>
      <c r="AA22" s="2" t="str">
        <f>IF(Footer[[#This Row],[Column20]]&lt;&gt;"","XXX","")</f>
        <v>XXX</v>
      </c>
      <c r="AB22" s="2" t="str">
        <f>IF(Footer[[#This Row],[Column21]]&lt;&gt;"","XXX","")</f>
        <v>XXX</v>
      </c>
      <c r="AC22" s="2" t="str">
        <f>IF(Footer[[#This Row],[Column22]]&lt;&gt;"","XXX","")</f>
        <v>XXX</v>
      </c>
      <c r="AD22" s="2" t="str">
        <f>IF(Footer[[#This Row],[Column23]]&lt;&gt;"","XXX","")</f>
        <v>XXX</v>
      </c>
      <c r="AE22" s="2" t="str">
        <f>IF(Footer[[#This Row],[Column24]]&lt;&gt;"","XXX","")</f>
        <v>XXX</v>
      </c>
      <c r="AF22" s="2" t="str">
        <f>IF(Footer[[#This Row],[Column25]]&lt;&gt;"","XXX","")</f>
        <v>XXX</v>
      </c>
      <c r="AG22" s="2" t="str">
        <f>IF(Footer[[#This Row],[Column26]]&lt;&gt;"","XXX","")</f>
        <v>XXX</v>
      </c>
      <c r="AH22" s="2" t="str">
        <f>IF(Footer[[#This Row],[Column27]]&lt;&gt;"","XXX","")</f>
        <v>XXX</v>
      </c>
      <c r="AI22" s="2" t="str">
        <f>IF(Footer[[#This Row],[Column28]]&lt;&gt;"","XXX","")</f>
        <v>XXX</v>
      </c>
      <c r="AJ22" s="2" t="str">
        <f>IF(Footer[[#This Row],[Column29]]&lt;&gt;"","XXX","")</f>
        <v>XXX</v>
      </c>
      <c r="AK22" s="2" t="str">
        <f>IF(Footer[[#This Row],[Column30]]&lt;&gt;"","XXX","")</f>
        <v>XXX</v>
      </c>
      <c r="AL22" s="2" t="str">
        <f>IF(Footer[[#This Row],[Column31]]&lt;&gt;"","XXX","")</f>
        <v>XXX</v>
      </c>
      <c r="AM22" s="2" t="str">
        <f>IF(Footer[[#This Row],[Column32]]&lt;&gt;"","XXX","")</f>
        <v>XXX</v>
      </c>
      <c r="AN22" s="2" t="str">
        <f>IF(Footer[[#This Row],[Column33]]&lt;&gt;"","XXX","")</f>
        <v>XXX</v>
      </c>
      <c r="AO22" s="2" t="str">
        <f>IF(Footer[[#This Row],[Column34]]&lt;&gt;"","XXX","")</f>
        <v>XXX</v>
      </c>
      <c r="AP22" s="2" t="str">
        <f>IF(Footer[[#This Row],[Column35]]&lt;&gt;"","XXX","")</f>
        <v>XXX</v>
      </c>
      <c r="AQ22" s="2" t="str">
        <f>IF(Footer[[#This Row],[Column36]]&lt;&gt;"","XXX","")</f>
        <v>XXX</v>
      </c>
      <c r="AR22" s="2" t="str">
        <f>IF(Footer[[#This Row],[Column37]]&lt;&gt;"","XXX","")</f>
        <v>XXX</v>
      </c>
      <c r="AS22" s="2" t="str">
        <f>IF(Footer[[#This Row],[Column38]]&lt;&gt;"","XXX","")</f>
        <v>XXX</v>
      </c>
      <c r="AT22" s="2" t="str">
        <f>IF(Footer[[#This Row],[Column39]]&lt;&gt;"","XXX","")</f>
        <v>XXX</v>
      </c>
      <c r="AU22" s="2" t="str">
        <f>IF(Footer[[#This Row],[Column40]]&lt;&gt;"","XXX","")</f>
        <v>XXX</v>
      </c>
      <c r="AV22" s="2" t="str">
        <f>IF(Footer[[#This Row],[Column41]]&lt;&gt;"","XXX","")</f>
        <v>XXX</v>
      </c>
      <c r="AW22" s="6" t="str">
        <f>IF(Footer[[#This Row],[Column42]]&lt;&gt;"","XXX","")</f>
        <v>XXX</v>
      </c>
      <c r="AX22" s="2" t="str">
        <f>IF(Footer[[#This Row],[Column43]]&lt;&gt;"","XXX","")</f>
        <v>XXX</v>
      </c>
      <c r="AY22" s="2" t="str">
        <f>IF(Footer[[#This Row],[Column44]]&lt;&gt;"","XXX","")</f>
        <v>XXX</v>
      </c>
      <c r="AZ22" s="2" t="str">
        <f>IF(Footer[[#This Row],[Column45]]&lt;&gt;"","XXX","")</f>
        <v>XXX</v>
      </c>
      <c r="BA22" s="2" t="str">
        <f>IF(Footer[[#This Row],[Column46]]&lt;&gt;"","XXX","")</f>
        <v>XXX</v>
      </c>
      <c r="BB22" s="2" t="str">
        <f>IF(Footer[[#This Row],[Column47]]&lt;&gt;"","XXX","")</f>
        <v>XXX</v>
      </c>
      <c r="BC22" s="2" t="str">
        <f>IF(Footer[[#This Row],[Column48]]&lt;&gt;"","XXX","")</f>
        <v>XXX</v>
      </c>
      <c r="BD22" s="2" t="str">
        <f>IF(Footer[[#This Row],[Column49]]&lt;&gt;"","XXX","")</f>
        <v>XXX</v>
      </c>
      <c r="BE22" s="2" t="str">
        <f>IF(Footer[[#This Row],[Column50]]&lt;&gt;"","XXX","")</f>
        <v>XXX</v>
      </c>
      <c r="BF22" s="2" t="str">
        <f>IF(Footer[[#This Row],[Column51]]&lt;&gt;"","XXX","")</f>
        <v>XXX</v>
      </c>
      <c r="BG22" s="2" t="str">
        <f>IF(Footer[[#This Row],[Column52]]&lt;&gt;"","XXX","")</f>
        <v>XXX</v>
      </c>
      <c r="BH22" s="2" t="str">
        <f>IF(Footer[[#This Row],[Column53]]&lt;&gt;"","XXX","")</f>
        <v>XXX</v>
      </c>
      <c r="BI22" s="2" t="str">
        <f>IF(Footer[[#This Row],[Column54]]&lt;&gt;"","XXX","")</f>
        <v>XXX</v>
      </c>
      <c r="BJ22" s="6" t="str">
        <f>IF(Footer[[#This Row],[Column1]]&lt;&gt;"",SUBSTITUTE(_xlfn.TEXTJOIN(",",TRUE,Footer[[#This Row],[Column1]:[Column61]]),"XXX",""),"")</f>
        <v>Data,0,exercise_title,wkt_step_name,Plank,,message_index,7,,exercise_category,19,,exercise_name,,,,,,,,,,,,,,,,,,,,,,,,,,,,,,,,,,,,,,,,,,,,,,,,</v>
      </c>
    </row>
    <row r="23" spans="1:62" x14ac:dyDescent="0.25">
      <c r="A23" s="2" t="str">
        <f>IF(Footer[[#This Row],[Column8]]&lt;&gt;"","Data","")</f>
        <v>Data</v>
      </c>
      <c r="B23" s="2" t="str">
        <f>IF(Footer[[#This Row],[Column8]]&lt;&gt;"","0","")</f>
        <v>0</v>
      </c>
      <c r="C23" s="2" t="str">
        <f>IF(Footer[[#This Row],[Column8]]&lt;&gt;"","exercise_title","")</f>
        <v>exercise_title</v>
      </c>
      <c r="D23" s="2" t="str">
        <f>IF(Footer[[#This Row],[Column8]]&lt;&gt;"","wkt_step_name","")</f>
        <v>wkt_step_name</v>
      </c>
      <c r="E23" s="4" t="str" cm="1">
        <f t="array" ref="E23">IFERROR(INDEX(_xlfn.UNIQUE(_xlfn._xlws.FILTER(Data[Exercise],Data[Exercise]&lt;&gt;""),FALSE,FALSE),ROW(Footer[[#This Row],[Column5]])-ROW($E$14),1),"")</f>
        <v>Single-leg Standing Dumbbell Calf Raise</v>
      </c>
      <c r="F23" s="2" t="str">
        <f>IF(Footer[[#This Row],[Column5]]&lt;&gt;"","XXX","")</f>
        <v>XXX</v>
      </c>
      <c r="G23" s="2" t="str">
        <f>IF(Footer[[#This Row],[Column8]]&lt;&gt;"","message_index","")</f>
        <v>message_index</v>
      </c>
      <c r="H23" s="4">
        <f>IF(Footer[[#This Row],[Column5]]&lt;&gt;"",ROW(Footer[[#This Row],[Column5]])-ROW($E$15),"")</f>
        <v>8</v>
      </c>
      <c r="I23" s="2" t="str">
        <f>IF(Footer[[#This Row],[Column8]]&lt;&gt;"","XXX","")</f>
        <v>XXX</v>
      </c>
      <c r="J23" s="2" t="str">
        <f>IF(Footer[[#This Row],[Column8]]&lt;&gt;"","exercise_category","")</f>
        <v>exercise_category</v>
      </c>
      <c r="K23" s="4">
        <f>IF(Footer[[#This Row],[Column8]]&lt;&gt;"",VLOOKUP(Footer[[#This Row],[Column5]],Table_Exercises[],2,FALSE),"")</f>
        <v>1</v>
      </c>
      <c r="L23" s="2" t="str">
        <f>IF(Footer[[#This Row],[Column11]]&lt;&gt;"","XXX","")</f>
        <v>XXX</v>
      </c>
      <c r="M23" s="2" t="str">
        <f>IF(AND(Footer[[#This Row],[Column8]]&lt;&gt;"",Footer[[#This Row],[Column14]]&lt;&gt;""),"exercise_name","")</f>
        <v>exercise_name</v>
      </c>
      <c r="N23" s="4">
        <f>IF(Footer[[#This Row],[Column8]]&lt;&gt;"",IF(VLOOKUP(Footer[[#This Row],[Column5]],Table_Exercises[],3,FALSE)="/","XXX",VLOOKUP(Footer[[#This Row],[Column5]],Table_Exercises[],3,FALSE)),"")</f>
        <v>16</v>
      </c>
      <c r="O23" s="2" t="str">
        <f>IF(Footer[[#This Row],[Column8]]&lt;&gt;"","XXX","")</f>
        <v>XXX</v>
      </c>
      <c r="P23" s="2" t="str">
        <f>IF(Footer[[#This Row],[Column9]]&lt;&gt;"","XXX","")</f>
        <v>XXX</v>
      </c>
      <c r="Q23" s="2" t="str">
        <f>IF(Footer[[#This Row],[Column10]]&lt;&gt;"","XXX","")</f>
        <v>XXX</v>
      </c>
      <c r="R23" s="2" t="str">
        <f>IF(Footer[[#This Row],[Column11]]&lt;&gt;"","XXX","")</f>
        <v>XXX</v>
      </c>
      <c r="S23" s="2" t="str">
        <f>IF(Footer[[#This Row],[Column12]]&lt;&gt;"","XXX","")</f>
        <v>XXX</v>
      </c>
      <c r="T23" s="2" t="str">
        <f>IF(Footer[[#This Row],[Column13]]&lt;&gt;"","XXX","")</f>
        <v>XXX</v>
      </c>
      <c r="U23" s="2" t="str">
        <f>IF(Footer[[#This Row],[Column14]]&lt;&gt;"","XXX","")</f>
        <v>XXX</v>
      </c>
      <c r="V23" s="2" t="str">
        <f>IF(Footer[[#This Row],[Column15]]&lt;&gt;"","XXX","")</f>
        <v>XXX</v>
      </c>
      <c r="W23" s="2" t="str">
        <f>IF(Footer[[#This Row],[Column16]]&lt;&gt;"","XXX","")</f>
        <v>XXX</v>
      </c>
      <c r="X23" s="2" t="str">
        <f>IF(Footer[[#This Row],[Column17]]&lt;&gt;"","XXX","")</f>
        <v>XXX</v>
      </c>
      <c r="Y23" s="2" t="str">
        <f>IF(Footer[[#This Row],[Column18]]&lt;&gt;"","XXX","")</f>
        <v>XXX</v>
      </c>
      <c r="Z23" s="2" t="str">
        <f>IF(Footer[[#This Row],[Column19]]&lt;&gt;"","XXX","")</f>
        <v>XXX</v>
      </c>
      <c r="AA23" s="2" t="str">
        <f>IF(Footer[[#This Row],[Column20]]&lt;&gt;"","XXX","")</f>
        <v>XXX</v>
      </c>
      <c r="AB23" s="2" t="str">
        <f>IF(Footer[[#This Row],[Column21]]&lt;&gt;"","XXX","")</f>
        <v>XXX</v>
      </c>
      <c r="AC23" s="2" t="str">
        <f>IF(Footer[[#This Row],[Column22]]&lt;&gt;"","XXX","")</f>
        <v>XXX</v>
      </c>
      <c r="AD23" s="2" t="str">
        <f>IF(Footer[[#This Row],[Column23]]&lt;&gt;"","XXX","")</f>
        <v>XXX</v>
      </c>
      <c r="AE23" s="2" t="str">
        <f>IF(Footer[[#This Row],[Column24]]&lt;&gt;"","XXX","")</f>
        <v>XXX</v>
      </c>
      <c r="AF23" s="2" t="str">
        <f>IF(Footer[[#This Row],[Column25]]&lt;&gt;"","XXX","")</f>
        <v>XXX</v>
      </c>
      <c r="AG23" s="2" t="str">
        <f>IF(Footer[[#This Row],[Column26]]&lt;&gt;"","XXX","")</f>
        <v>XXX</v>
      </c>
      <c r="AH23" s="2" t="str">
        <f>IF(Footer[[#This Row],[Column27]]&lt;&gt;"","XXX","")</f>
        <v>XXX</v>
      </c>
      <c r="AI23" s="2" t="str">
        <f>IF(Footer[[#This Row],[Column28]]&lt;&gt;"","XXX","")</f>
        <v>XXX</v>
      </c>
      <c r="AJ23" s="2" t="str">
        <f>IF(Footer[[#This Row],[Column29]]&lt;&gt;"","XXX","")</f>
        <v>XXX</v>
      </c>
      <c r="AK23" s="2" t="str">
        <f>IF(Footer[[#This Row],[Column30]]&lt;&gt;"","XXX","")</f>
        <v>XXX</v>
      </c>
      <c r="AL23" s="2" t="str">
        <f>IF(Footer[[#This Row],[Column31]]&lt;&gt;"","XXX","")</f>
        <v>XXX</v>
      </c>
      <c r="AM23" s="2" t="str">
        <f>IF(Footer[[#This Row],[Column32]]&lt;&gt;"","XXX","")</f>
        <v>XXX</v>
      </c>
      <c r="AN23" s="2" t="str">
        <f>IF(Footer[[#This Row],[Column33]]&lt;&gt;"","XXX","")</f>
        <v>XXX</v>
      </c>
      <c r="AO23" s="2" t="str">
        <f>IF(Footer[[#This Row],[Column34]]&lt;&gt;"","XXX","")</f>
        <v>XXX</v>
      </c>
      <c r="AP23" s="2" t="str">
        <f>IF(Footer[[#This Row],[Column35]]&lt;&gt;"","XXX","")</f>
        <v>XXX</v>
      </c>
      <c r="AQ23" s="2" t="str">
        <f>IF(Footer[[#This Row],[Column36]]&lt;&gt;"","XXX","")</f>
        <v>XXX</v>
      </c>
      <c r="AR23" s="2" t="str">
        <f>IF(Footer[[#This Row],[Column37]]&lt;&gt;"","XXX","")</f>
        <v>XXX</v>
      </c>
      <c r="AS23" s="2" t="str">
        <f>IF(Footer[[#This Row],[Column38]]&lt;&gt;"","XXX","")</f>
        <v>XXX</v>
      </c>
      <c r="AT23" s="2" t="str">
        <f>IF(Footer[[#This Row],[Column39]]&lt;&gt;"","XXX","")</f>
        <v>XXX</v>
      </c>
      <c r="AU23" s="2" t="str">
        <f>IF(Footer[[#This Row],[Column40]]&lt;&gt;"","XXX","")</f>
        <v>XXX</v>
      </c>
      <c r="AV23" s="2" t="str">
        <f>IF(Footer[[#This Row],[Column41]]&lt;&gt;"","XXX","")</f>
        <v>XXX</v>
      </c>
      <c r="AW23" s="6" t="str">
        <f>IF(Footer[[#This Row],[Column42]]&lt;&gt;"","XXX","")</f>
        <v>XXX</v>
      </c>
      <c r="AX23" s="2" t="str">
        <f>IF(Footer[[#This Row],[Column43]]&lt;&gt;"","XXX","")</f>
        <v>XXX</v>
      </c>
      <c r="AY23" s="2" t="str">
        <f>IF(Footer[[#This Row],[Column44]]&lt;&gt;"","XXX","")</f>
        <v>XXX</v>
      </c>
      <c r="AZ23" s="2" t="str">
        <f>IF(Footer[[#This Row],[Column45]]&lt;&gt;"","XXX","")</f>
        <v>XXX</v>
      </c>
      <c r="BA23" s="2" t="str">
        <f>IF(Footer[[#This Row],[Column46]]&lt;&gt;"","XXX","")</f>
        <v>XXX</v>
      </c>
      <c r="BB23" s="2" t="str">
        <f>IF(Footer[[#This Row],[Column47]]&lt;&gt;"","XXX","")</f>
        <v>XXX</v>
      </c>
      <c r="BC23" s="2" t="str">
        <f>IF(Footer[[#This Row],[Column48]]&lt;&gt;"","XXX","")</f>
        <v>XXX</v>
      </c>
      <c r="BD23" s="2" t="str">
        <f>IF(Footer[[#This Row],[Column49]]&lt;&gt;"","XXX","")</f>
        <v>XXX</v>
      </c>
      <c r="BE23" s="2" t="str">
        <f>IF(Footer[[#This Row],[Column50]]&lt;&gt;"","XXX","")</f>
        <v>XXX</v>
      </c>
      <c r="BF23" s="2" t="str">
        <f>IF(Footer[[#This Row],[Column51]]&lt;&gt;"","XXX","")</f>
        <v>XXX</v>
      </c>
      <c r="BG23" s="2" t="str">
        <f>IF(Footer[[#This Row],[Column52]]&lt;&gt;"","XXX","")</f>
        <v>XXX</v>
      </c>
      <c r="BH23" s="2" t="str">
        <f>IF(Footer[[#This Row],[Column53]]&lt;&gt;"","XXX","")</f>
        <v>XXX</v>
      </c>
      <c r="BI23" s="2" t="str">
        <f>IF(Footer[[#This Row],[Column54]]&lt;&gt;"","XXX","")</f>
        <v>XXX</v>
      </c>
      <c r="BJ23" s="6" t="str">
        <f>IF(Footer[[#This Row],[Column1]]&lt;&gt;"",SUBSTITUTE(_xlfn.TEXTJOIN(",",TRUE,Footer[[#This Row],[Column1]:[Column61]]),"XXX",""),"")</f>
        <v>Data,0,exercise_title,wkt_step_name,Single-leg Standing Dumbbell Calf Raise,,message_index,8,,exercise_category,1,,exercise_name,16,,,,,,,,,,,,,,,,,,,,,,,,,,,,,,,,,,,,,,,,,,,,,,,</v>
      </c>
    </row>
    <row r="24" spans="1:62" x14ac:dyDescent="0.25">
      <c r="A24" s="2" t="str">
        <f>IF(Footer[[#This Row],[Column8]]&lt;&gt;"","Data","")</f>
        <v/>
      </c>
      <c r="B24" s="2" t="str">
        <f>IF(Footer[[#This Row],[Column8]]&lt;&gt;"","0","")</f>
        <v/>
      </c>
      <c r="C24" s="2" t="str">
        <f>IF(Footer[[#This Row],[Column8]]&lt;&gt;"","exercise_title","")</f>
        <v/>
      </c>
      <c r="D24" s="2" t="str">
        <f>IF(Footer[[#This Row],[Column8]]&lt;&gt;"","wkt_step_name","")</f>
        <v/>
      </c>
      <c r="E24" s="4" t="str" cm="1">
        <f t="array" ref="E24">IFERROR(INDEX(_xlfn.UNIQUE(_xlfn._xlws.FILTER(Data[Exercise],Data[Exercise]&lt;&gt;""),FALSE,FALSE),ROW(Footer[[#This Row],[Column5]])-ROW($E$14),1),"")</f>
        <v/>
      </c>
      <c r="F24" s="2" t="str">
        <f>IF(Footer[[#This Row],[Column5]]&lt;&gt;"","XXX","")</f>
        <v/>
      </c>
      <c r="G24" s="2" t="str">
        <f>IF(Footer[[#This Row],[Column8]]&lt;&gt;"","message_index","")</f>
        <v/>
      </c>
      <c r="H24" s="4" t="str">
        <f>IF(Footer[[#This Row],[Column5]]&lt;&gt;"",ROW(Footer[[#This Row],[Column5]])-ROW($E$15),"")</f>
        <v/>
      </c>
      <c r="I24" s="2" t="str">
        <f>IF(Footer[[#This Row],[Column8]]&lt;&gt;"","XXX","")</f>
        <v/>
      </c>
      <c r="J24" s="2" t="str">
        <f>IF(Footer[[#This Row],[Column8]]&lt;&gt;"","exercise_category","")</f>
        <v/>
      </c>
      <c r="K24" s="2"/>
      <c r="L24" s="2" t="str">
        <f>IF(Footer[[#This Row],[Column11]]&lt;&gt;"","XXX","")</f>
        <v/>
      </c>
      <c r="M24" s="2" t="str">
        <f>IF(AND(Footer[[#This Row],[Column8]]&lt;&gt;"",Footer[[#This Row],[Column14]]&lt;&gt;""),"exercise_name","")</f>
        <v/>
      </c>
      <c r="N24" s="4" t="str">
        <f>IF(Footer[[#This Row],[Column8]]&lt;&gt;"",IF(VLOOKUP(Footer[[#This Row],[Column5]],Table_Exercises[],3,FALSE)="/","XXX",VLOOKUP(Footer[[#This Row],[Column5]],Table_Exercises[],3,FALSE)),"")</f>
        <v/>
      </c>
      <c r="O24" s="2" t="str">
        <f>IF(Footer[[#This Row],[Column8]]&lt;&gt;"","XXX","")</f>
        <v/>
      </c>
      <c r="P24" s="2" t="str">
        <f>IF(Footer[[#This Row],[Column9]]&lt;&gt;"","XXX","")</f>
        <v/>
      </c>
      <c r="Q24" s="2" t="str">
        <f>IF(Footer[[#This Row],[Column10]]&lt;&gt;"","XXX","")</f>
        <v/>
      </c>
      <c r="R24" s="2" t="str">
        <f>IF(Footer[[#This Row],[Column11]]&lt;&gt;"","XXX","")</f>
        <v/>
      </c>
      <c r="S24" s="2" t="str">
        <f>IF(Footer[[#This Row],[Column12]]&lt;&gt;"","XXX","")</f>
        <v/>
      </c>
      <c r="T24" s="2" t="str">
        <f>IF(Footer[[#This Row],[Column13]]&lt;&gt;"","XXX","")</f>
        <v/>
      </c>
      <c r="U24" s="2" t="str">
        <f>IF(Footer[[#This Row],[Column14]]&lt;&gt;"","XXX","")</f>
        <v/>
      </c>
      <c r="V24" s="2" t="str">
        <f>IF(Footer[[#This Row],[Column15]]&lt;&gt;"","XXX","")</f>
        <v/>
      </c>
      <c r="W24" s="2" t="str">
        <f>IF(Footer[[#This Row],[Column16]]&lt;&gt;"","XXX","")</f>
        <v/>
      </c>
      <c r="X24" s="2" t="str">
        <f>IF(Footer[[#This Row],[Column17]]&lt;&gt;"","XXX","")</f>
        <v/>
      </c>
      <c r="Y24" s="2" t="str">
        <f>IF(Footer[[#This Row],[Column18]]&lt;&gt;"","XXX","")</f>
        <v/>
      </c>
      <c r="Z24" s="2" t="str">
        <f>IF(Footer[[#This Row],[Column19]]&lt;&gt;"","XXX","")</f>
        <v/>
      </c>
      <c r="AA24" s="2" t="str">
        <f>IF(Footer[[#This Row],[Column20]]&lt;&gt;"","XXX","")</f>
        <v/>
      </c>
      <c r="AB24" s="2" t="str">
        <f>IF(Footer[[#This Row],[Column21]]&lt;&gt;"","XXX","")</f>
        <v/>
      </c>
      <c r="AC24" s="2" t="str">
        <f>IF(Footer[[#This Row],[Column22]]&lt;&gt;"","XXX","")</f>
        <v/>
      </c>
      <c r="AD24" s="2" t="str">
        <f>IF(Footer[[#This Row],[Column23]]&lt;&gt;"","XXX","")</f>
        <v/>
      </c>
      <c r="AE24" s="2" t="str">
        <f>IF(Footer[[#This Row],[Column24]]&lt;&gt;"","XXX","")</f>
        <v/>
      </c>
      <c r="AF24" s="2" t="str">
        <f>IF(Footer[[#This Row],[Column25]]&lt;&gt;"","XXX","")</f>
        <v/>
      </c>
      <c r="AG24" s="2" t="str">
        <f>IF(Footer[[#This Row],[Column26]]&lt;&gt;"","XXX","")</f>
        <v/>
      </c>
      <c r="AH24" s="2" t="str">
        <f>IF(Footer[[#This Row],[Column27]]&lt;&gt;"","XXX","")</f>
        <v/>
      </c>
      <c r="AI24" s="2" t="str">
        <f>IF(Footer[[#This Row],[Column28]]&lt;&gt;"","XXX","")</f>
        <v/>
      </c>
      <c r="AJ24" s="2" t="str">
        <f>IF(Footer[[#This Row],[Column29]]&lt;&gt;"","XXX","")</f>
        <v/>
      </c>
      <c r="AK24" s="2" t="str">
        <f>IF(Footer[[#This Row],[Column30]]&lt;&gt;"","XXX","")</f>
        <v/>
      </c>
      <c r="AL24" s="2" t="str">
        <f>IF(Footer[[#This Row],[Column31]]&lt;&gt;"","XXX","")</f>
        <v/>
      </c>
      <c r="AM24" s="2" t="str">
        <f>IF(Footer[[#This Row],[Column32]]&lt;&gt;"","XXX","")</f>
        <v/>
      </c>
      <c r="AN24" s="2" t="str">
        <f>IF(Footer[[#This Row],[Column33]]&lt;&gt;"","XXX","")</f>
        <v/>
      </c>
      <c r="AO24" s="2" t="str">
        <f>IF(Footer[[#This Row],[Column34]]&lt;&gt;"","XXX","")</f>
        <v/>
      </c>
      <c r="AP24" s="2" t="str">
        <f>IF(Footer[[#This Row],[Column35]]&lt;&gt;"","XXX","")</f>
        <v/>
      </c>
      <c r="AQ24" s="2" t="str">
        <f>IF(Footer[[#This Row],[Column36]]&lt;&gt;"","XXX","")</f>
        <v/>
      </c>
      <c r="AR24" s="2" t="str">
        <f>IF(Footer[[#This Row],[Column37]]&lt;&gt;"","XXX","")</f>
        <v/>
      </c>
      <c r="AS24" s="2" t="str">
        <f>IF(Footer[[#This Row],[Column38]]&lt;&gt;"","XXX","")</f>
        <v/>
      </c>
      <c r="AT24" s="2" t="str">
        <f>IF(Footer[[#This Row],[Column39]]&lt;&gt;"","XXX","")</f>
        <v/>
      </c>
      <c r="AU24" s="2" t="str">
        <f>IF(Footer[[#This Row],[Column40]]&lt;&gt;"","XXX","")</f>
        <v/>
      </c>
      <c r="AV24" s="2" t="str">
        <f>IF(Footer[[#This Row],[Column41]]&lt;&gt;"","XXX","")</f>
        <v/>
      </c>
      <c r="AW24" s="6" t="str">
        <f>IF(Footer[[#This Row],[Column42]]&lt;&gt;"","XXX","")</f>
        <v/>
      </c>
      <c r="AX24" s="2" t="str">
        <f>IF(Footer[[#This Row],[Column43]]&lt;&gt;"","XXX","")</f>
        <v/>
      </c>
      <c r="AY24" s="2" t="str">
        <f>IF(Footer[[#This Row],[Column44]]&lt;&gt;"","XXX","")</f>
        <v/>
      </c>
      <c r="AZ24" s="2" t="str">
        <f>IF(Footer[[#This Row],[Column45]]&lt;&gt;"","XXX","")</f>
        <v/>
      </c>
      <c r="BA24" s="2" t="str">
        <f>IF(Footer[[#This Row],[Column46]]&lt;&gt;"","XXX","")</f>
        <v/>
      </c>
      <c r="BB24" s="2" t="str">
        <f>IF(Footer[[#This Row],[Column47]]&lt;&gt;"","XXX","")</f>
        <v/>
      </c>
      <c r="BC24" s="2" t="str">
        <f>IF(Footer[[#This Row],[Column48]]&lt;&gt;"","XXX","")</f>
        <v/>
      </c>
      <c r="BD24" s="2" t="str">
        <f>IF(Footer[[#This Row],[Column49]]&lt;&gt;"","XXX","")</f>
        <v/>
      </c>
      <c r="BE24" s="2" t="str">
        <f>IF(Footer[[#This Row],[Column50]]&lt;&gt;"","XXX","")</f>
        <v/>
      </c>
      <c r="BF24" s="2" t="str">
        <f>IF(Footer[[#This Row],[Column51]]&lt;&gt;"","XXX","")</f>
        <v/>
      </c>
      <c r="BG24" s="2" t="str">
        <f>IF(Footer[[#This Row],[Column52]]&lt;&gt;"","XXX","")</f>
        <v/>
      </c>
      <c r="BH24" s="2" t="str">
        <f>IF(Footer[[#This Row],[Column53]]&lt;&gt;"","XXX","")</f>
        <v/>
      </c>
      <c r="BI24" s="2" t="str">
        <f>IF(Footer[[#This Row],[Column54]]&lt;&gt;"","XXX","")</f>
        <v/>
      </c>
      <c r="BJ24" s="6" t="str">
        <f>IF(Footer[[#This Row],[Column1]]&lt;&gt;"",SUBSTITUTE(_xlfn.TEXTJOIN(",",TRUE,Footer[[#This Row],[Column1]:[Column61]]),"XXX",""),"")</f>
        <v/>
      </c>
    </row>
    <row r="25" spans="1:62" x14ac:dyDescent="0.25">
      <c r="A25" s="2" t="str">
        <f>IF(Footer[[#This Row],[Column8]]&lt;&gt;"","Data","")</f>
        <v/>
      </c>
      <c r="B25" s="2" t="str">
        <f>IF(Footer[[#This Row],[Column8]]&lt;&gt;"","0","")</f>
        <v/>
      </c>
      <c r="C25" s="2" t="str">
        <f>IF(Footer[[#This Row],[Column8]]&lt;&gt;"","exercise_title","")</f>
        <v/>
      </c>
      <c r="D25" s="2" t="str">
        <f>IF(Footer[[#This Row],[Column8]]&lt;&gt;"","wkt_step_name","")</f>
        <v/>
      </c>
      <c r="E25" s="4" t="str" cm="1">
        <f t="array" ref="E25">IFERROR(INDEX(_xlfn.UNIQUE(_xlfn._xlws.FILTER(Data[Exercise],Data[Exercise]&lt;&gt;""),FALSE,FALSE),ROW(Footer[[#This Row],[Column5]])-ROW($E$14),1),"")</f>
        <v/>
      </c>
      <c r="F25" s="2" t="str">
        <f>IF(Footer[[#This Row],[Column5]]&lt;&gt;"","XXX","")</f>
        <v/>
      </c>
      <c r="G25" s="2" t="str">
        <f>IF(Footer[[#This Row],[Column8]]&lt;&gt;"","message_index","")</f>
        <v/>
      </c>
      <c r="H25" s="4" t="str">
        <f>IF(Footer[[#This Row],[Column5]]&lt;&gt;"",ROW(Footer[[#This Row],[Column5]])-ROW($E$15),"")</f>
        <v/>
      </c>
      <c r="I25" s="2" t="str">
        <f>IF(Footer[[#This Row],[Column8]]&lt;&gt;"","XXX","")</f>
        <v/>
      </c>
      <c r="J25" s="2" t="str">
        <f>IF(Footer[[#This Row],[Column8]]&lt;&gt;"","exercise_category","")</f>
        <v/>
      </c>
      <c r="K25" s="2"/>
      <c r="L25" s="2" t="str">
        <f>IF(Footer[[#This Row],[Column11]]&lt;&gt;"","XXX","")</f>
        <v/>
      </c>
      <c r="M25" s="2" t="str">
        <f>IF(AND(Footer[[#This Row],[Column8]]&lt;&gt;"",Footer[[#This Row],[Column14]]&lt;&gt;""),"exercise_name","")</f>
        <v/>
      </c>
      <c r="N25" s="4" t="str">
        <f>IF(Footer[[#This Row],[Column8]]&lt;&gt;"",IF(VLOOKUP(Footer[[#This Row],[Column5]],Table_Exercises[],3,FALSE)="/","XXX",VLOOKUP(Footer[[#This Row],[Column5]],Table_Exercises[],3,FALSE)),"")</f>
        <v/>
      </c>
      <c r="O25" s="2" t="str">
        <f>IF(Footer[[#This Row],[Column8]]&lt;&gt;"","XXX","")</f>
        <v/>
      </c>
      <c r="P25" s="2" t="str">
        <f>IF(Footer[[#This Row],[Column9]]&lt;&gt;"","XXX","")</f>
        <v/>
      </c>
      <c r="Q25" s="2" t="str">
        <f>IF(Footer[[#This Row],[Column10]]&lt;&gt;"","XXX","")</f>
        <v/>
      </c>
      <c r="R25" s="2" t="str">
        <f>IF(Footer[[#This Row],[Column11]]&lt;&gt;"","XXX","")</f>
        <v/>
      </c>
      <c r="S25" s="2" t="str">
        <f>IF(Footer[[#This Row],[Column12]]&lt;&gt;"","XXX","")</f>
        <v/>
      </c>
      <c r="T25" s="2" t="str">
        <f>IF(Footer[[#This Row],[Column13]]&lt;&gt;"","XXX","")</f>
        <v/>
      </c>
      <c r="U25" s="2" t="str">
        <f>IF(Footer[[#This Row],[Column14]]&lt;&gt;"","XXX","")</f>
        <v/>
      </c>
      <c r="V25" s="2" t="str">
        <f>IF(Footer[[#This Row],[Column15]]&lt;&gt;"","XXX","")</f>
        <v/>
      </c>
      <c r="W25" s="2" t="str">
        <f>IF(Footer[[#This Row],[Column16]]&lt;&gt;"","XXX","")</f>
        <v/>
      </c>
      <c r="X25" s="2" t="str">
        <f>IF(Footer[[#This Row],[Column17]]&lt;&gt;"","XXX","")</f>
        <v/>
      </c>
      <c r="Y25" s="2" t="str">
        <f>IF(Footer[[#This Row],[Column18]]&lt;&gt;"","XXX","")</f>
        <v/>
      </c>
      <c r="Z25" s="2" t="str">
        <f>IF(Footer[[#This Row],[Column19]]&lt;&gt;"","XXX","")</f>
        <v/>
      </c>
      <c r="AA25" s="2" t="str">
        <f>IF(Footer[[#This Row],[Column20]]&lt;&gt;"","XXX","")</f>
        <v/>
      </c>
      <c r="AB25" s="2" t="str">
        <f>IF(Footer[[#This Row],[Column21]]&lt;&gt;"","XXX","")</f>
        <v/>
      </c>
      <c r="AC25" s="2" t="str">
        <f>IF(Footer[[#This Row],[Column22]]&lt;&gt;"","XXX","")</f>
        <v/>
      </c>
      <c r="AD25" s="2" t="str">
        <f>IF(Footer[[#This Row],[Column23]]&lt;&gt;"","XXX","")</f>
        <v/>
      </c>
      <c r="AE25" s="2" t="str">
        <f>IF(Footer[[#This Row],[Column24]]&lt;&gt;"","XXX","")</f>
        <v/>
      </c>
      <c r="AF25" s="2" t="str">
        <f>IF(Footer[[#This Row],[Column25]]&lt;&gt;"","XXX","")</f>
        <v/>
      </c>
      <c r="AG25" s="2" t="str">
        <f>IF(Footer[[#This Row],[Column26]]&lt;&gt;"","XXX","")</f>
        <v/>
      </c>
      <c r="AH25" s="2" t="str">
        <f>IF(Footer[[#This Row],[Column27]]&lt;&gt;"","XXX","")</f>
        <v/>
      </c>
      <c r="AI25" s="2" t="str">
        <f>IF(Footer[[#This Row],[Column28]]&lt;&gt;"","XXX","")</f>
        <v/>
      </c>
      <c r="AJ25" s="2" t="str">
        <f>IF(Footer[[#This Row],[Column29]]&lt;&gt;"","XXX","")</f>
        <v/>
      </c>
      <c r="AK25" s="2" t="str">
        <f>IF(Footer[[#This Row],[Column30]]&lt;&gt;"","XXX","")</f>
        <v/>
      </c>
      <c r="AL25" s="2" t="str">
        <f>IF(Footer[[#This Row],[Column31]]&lt;&gt;"","XXX","")</f>
        <v/>
      </c>
      <c r="AM25" s="2" t="str">
        <f>IF(Footer[[#This Row],[Column32]]&lt;&gt;"","XXX","")</f>
        <v/>
      </c>
      <c r="AN25" s="2" t="str">
        <f>IF(Footer[[#This Row],[Column33]]&lt;&gt;"","XXX","")</f>
        <v/>
      </c>
      <c r="AO25" s="2" t="str">
        <f>IF(Footer[[#This Row],[Column34]]&lt;&gt;"","XXX","")</f>
        <v/>
      </c>
      <c r="AP25" s="2" t="str">
        <f>IF(Footer[[#This Row],[Column35]]&lt;&gt;"","XXX","")</f>
        <v/>
      </c>
      <c r="AQ25" s="2" t="str">
        <f>IF(Footer[[#This Row],[Column36]]&lt;&gt;"","XXX","")</f>
        <v/>
      </c>
      <c r="AR25" s="2" t="str">
        <f>IF(Footer[[#This Row],[Column37]]&lt;&gt;"","XXX","")</f>
        <v/>
      </c>
      <c r="AS25" s="2" t="str">
        <f>IF(Footer[[#This Row],[Column38]]&lt;&gt;"","XXX","")</f>
        <v/>
      </c>
      <c r="AT25" s="2" t="str">
        <f>IF(Footer[[#This Row],[Column39]]&lt;&gt;"","XXX","")</f>
        <v/>
      </c>
      <c r="AU25" s="2" t="str">
        <f>IF(Footer[[#This Row],[Column40]]&lt;&gt;"","XXX","")</f>
        <v/>
      </c>
      <c r="AV25" s="2" t="str">
        <f>IF(Footer[[#This Row],[Column41]]&lt;&gt;"","XXX","")</f>
        <v/>
      </c>
      <c r="AW25" s="6" t="str">
        <f>IF(Footer[[#This Row],[Column42]]&lt;&gt;"","XXX","")</f>
        <v/>
      </c>
      <c r="AX25" s="2" t="str">
        <f>IF(Footer[[#This Row],[Column43]]&lt;&gt;"","XXX","")</f>
        <v/>
      </c>
      <c r="AY25" s="2" t="str">
        <f>IF(Footer[[#This Row],[Column44]]&lt;&gt;"","XXX","")</f>
        <v/>
      </c>
      <c r="AZ25" s="2" t="str">
        <f>IF(Footer[[#This Row],[Column45]]&lt;&gt;"","XXX","")</f>
        <v/>
      </c>
      <c r="BA25" s="2" t="str">
        <f>IF(Footer[[#This Row],[Column46]]&lt;&gt;"","XXX","")</f>
        <v/>
      </c>
      <c r="BB25" s="2" t="str">
        <f>IF(Footer[[#This Row],[Column47]]&lt;&gt;"","XXX","")</f>
        <v/>
      </c>
      <c r="BC25" s="2" t="str">
        <f>IF(Footer[[#This Row],[Column48]]&lt;&gt;"","XXX","")</f>
        <v/>
      </c>
      <c r="BD25" s="2" t="str">
        <f>IF(Footer[[#This Row],[Column49]]&lt;&gt;"","XXX","")</f>
        <v/>
      </c>
      <c r="BE25" s="2" t="str">
        <f>IF(Footer[[#This Row],[Column50]]&lt;&gt;"","XXX","")</f>
        <v/>
      </c>
      <c r="BF25" s="2" t="str">
        <f>IF(Footer[[#This Row],[Column51]]&lt;&gt;"","XXX","")</f>
        <v/>
      </c>
      <c r="BG25" s="2" t="str">
        <f>IF(Footer[[#This Row],[Column52]]&lt;&gt;"","XXX","")</f>
        <v/>
      </c>
      <c r="BH25" s="2" t="str">
        <f>IF(Footer[[#This Row],[Column53]]&lt;&gt;"","XXX","")</f>
        <v/>
      </c>
      <c r="BI25" s="2" t="str">
        <f>IF(Footer[[#This Row],[Column54]]&lt;&gt;"","XXX","")</f>
        <v/>
      </c>
      <c r="BJ25" s="6" t="str">
        <f>IF(Footer[[#This Row],[Column1]]&lt;&gt;"",SUBSTITUTE(_xlfn.TEXTJOIN(",",TRUE,Footer[[#This Row],[Column1]:[Column61]]),"XXX",""),"")</f>
        <v/>
      </c>
    </row>
    <row r="26" spans="1:62" x14ac:dyDescent="0.25">
      <c r="A26" s="2" t="str">
        <f>IF(Footer[[#This Row],[Column8]]&lt;&gt;"","Data","")</f>
        <v/>
      </c>
      <c r="B26" s="2" t="str">
        <f>IF(Footer[[#This Row],[Column8]]&lt;&gt;"","0","")</f>
        <v/>
      </c>
      <c r="C26" s="2" t="str">
        <f>IF(Footer[[#This Row],[Column8]]&lt;&gt;"","exercise_title","")</f>
        <v/>
      </c>
      <c r="D26" s="2" t="str">
        <f>IF(Footer[[#This Row],[Column8]]&lt;&gt;"","wkt_step_name","")</f>
        <v/>
      </c>
      <c r="E26" s="4" t="str" cm="1">
        <f t="array" ref="E26">IFERROR(INDEX(_xlfn.UNIQUE(_xlfn._xlws.FILTER(Data[Exercise],Data[Exercise]&lt;&gt;""),FALSE,FALSE),ROW(Footer[[#This Row],[Column5]])-ROW($E$14),1),"")</f>
        <v/>
      </c>
      <c r="F26" s="2" t="str">
        <f>IF(Footer[[#This Row],[Column5]]&lt;&gt;"","XXX","")</f>
        <v/>
      </c>
      <c r="G26" s="2" t="str">
        <f>IF(Footer[[#This Row],[Column8]]&lt;&gt;"","message_index","")</f>
        <v/>
      </c>
      <c r="H26" s="4" t="str">
        <f>IF(Footer[[#This Row],[Column5]]&lt;&gt;"",ROW(Footer[[#This Row],[Column5]])-ROW($E$15),"")</f>
        <v/>
      </c>
      <c r="I26" s="2" t="str">
        <f>IF(Footer[[#This Row],[Column8]]&lt;&gt;"","XXX","")</f>
        <v/>
      </c>
      <c r="J26" s="2" t="str">
        <f>IF(Footer[[#This Row],[Column8]]&lt;&gt;"","exercise_category","")</f>
        <v/>
      </c>
      <c r="K26" s="2"/>
      <c r="L26" s="2" t="str">
        <f>IF(Footer[[#This Row],[Column11]]&lt;&gt;"","XXX","")</f>
        <v/>
      </c>
      <c r="M26" s="2" t="str">
        <f>IF(AND(Footer[[#This Row],[Column8]]&lt;&gt;"",Footer[[#This Row],[Column14]]&lt;&gt;""),"exercise_name","")</f>
        <v/>
      </c>
      <c r="N26" s="4" t="str">
        <f>IF(Footer[[#This Row],[Column8]]&lt;&gt;"",IF(VLOOKUP(Footer[[#This Row],[Column5]],Table_Exercises[],3,FALSE)="/","XXX",VLOOKUP(Footer[[#This Row],[Column5]],Table_Exercises[],3,FALSE)),"")</f>
        <v/>
      </c>
      <c r="O26" s="2" t="str">
        <f>IF(Footer[[#This Row],[Column8]]&lt;&gt;"","XXX","")</f>
        <v/>
      </c>
      <c r="P26" s="2" t="str">
        <f>IF(Footer[[#This Row],[Column9]]&lt;&gt;"","XXX","")</f>
        <v/>
      </c>
      <c r="Q26" s="2" t="str">
        <f>IF(Footer[[#This Row],[Column10]]&lt;&gt;"","XXX","")</f>
        <v/>
      </c>
      <c r="R26" s="2" t="str">
        <f>IF(Footer[[#This Row],[Column11]]&lt;&gt;"","XXX","")</f>
        <v/>
      </c>
      <c r="S26" s="2" t="str">
        <f>IF(Footer[[#This Row],[Column12]]&lt;&gt;"","XXX","")</f>
        <v/>
      </c>
      <c r="T26" s="2" t="str">
        <f>IF(Footer[[#This Row],[Column13]]&lt;&gt;"","XXX","")</f>
        <v/>
      </c>
      <c r="U26" s="2" t="str">
        <f>IF(Footer[[#This Row],[Column14]]&lt;&gt;"","XXX","")</f>
        <v/>
      </c>
      <c r="V26" s="2" t="str">
        <f>IF(Footer[[#This Row],[Column15]]&lt;&gt;"","XXX","")</f>
        <v/>
      </c>
      <c r="W26" s="2" t="str">
        <f>IF(Footer[[#This Row],[Column16]]&lt;&gt;"","XXX","")</f>
        <v/>
      </c>
      <c r="X26" s="2" t="str">
        <f>IF(Footer[[#This Row],[Column17]]&lt;&gt;"","XXX","")</f>
        <v/>
      </c>
      <c r="Y26" s="2" t="str">
        <f>IF(Footer[[#This Row],[Column18]]&lt;&gt;"","XXX","")</f>
        <v/>
      </c>
      <c r="Z26" s="2" t="str">
        <f>IF(Footer[[#This Row],[Column19]]&lt;&gt;"","XXX","")</f>
        <v/>
      </c>
      <c r="AA26" s="2" t="str">
        <f>IF(Footer[[#This Row],[Column20]]&lt;&gt;"","XXX","")</f>
        <v/>
      </c>
      <c r="AB26" s="2" t="str">
        <f>IF(Footer[[#This Row],[Column21]]&lt;&gt;"","XXX","")</f>
        <v/>
      </c>
      <c r="AC26" s="2" t="str">
        <f>IF(Footer[[#This Row],[Column22]]&lt;&gt;"","XXX","")</f>
        <v/>
      </c>
      <c r="AD26" s="2" t="str">
        <f>IF(Footer[[#This Row],[Column23]]&lt;&gt;"","XXX","")</f>
        <v/>
      </c>
      <c r="AE26" s="2" t="str">
        <f>IF(Footer[[#This Row],[Column24]]&lt;&gt;"","XXX","")</f>
        <v/>
      </c>
      <c r="AF26" s="2" t="str">
        <f>IF(Footer[[#This Row],[Column25]]&lt;&gt;"","XXX","")</f>
        <v/>
      </c>
      <c r="AG26" s="2" t="str">
        <f>IF(Footer[[#This Row],[Column26]]&lt;&gt;"","XXX","")</f>
        <v/>
      </c>
      <c r="AH26" s="2" t="str">
        <f>IF(Footer[[#This Row],[Column27]]&lt;&gt;"","XXX","")</f>
        <v/>
      </c>
      <c r="AI26" s="2" t="str">
        <f>IF(Footer[[#This Row],[Column28]]&lt;&gt;"","XXX","")</f>
        <v/>
      </c>
      <c r="AJ26" s="2" t="str">
        <f>IF(Footer[[#This Row],[Column29]]&lt;&gt;"","XXX","")</f>
        <v/>
      </c>
      <c r="AK26" s="2" t="str">
        <f>IF(Footer[[#This Row],[Column30]]&lt;&gt;"","XXX","")</f>
        <v/>
      </c>
      <c r="AL26" s="2" t="str">
        <f>IF(Footer[[#This Row],[Column31]]&lt;&gt;"","XXX","")</f>
        <v/>
      </c>
      <c r="AM26" s="2" t="str">
        <f>IF(Footer[[#This Row],[Column32]]&lt;&gt;"","XXX","")</f>
        <v/>
      </c>
      <c r="AN26" s="2" t="str">
        <f>IF(Footer[[#This Row],[Column33]]&lt;&gt;"","XXX","")</f>
        <v/>
      </c>
      <c r="AO26" s="2" t="str">
        <f>IF(Footer[[#This Row],[Column34]]&lt;&gt;"","XXX","")</f>
        <v/>
      </c>
      <c r="AP26" s="2" t="str">
        <f>IF(Footer[[#This Row],[Column35]]&lt;&gt;"","XXX","")</f>
        <v/>
      </c>
      <c r="AQ26" s="2" t="str">
        <f>IF(Footer[[#This Row],[Column36]]&lt;&gt;"","XXX","")</f>
        <v/>
      </c>
      <c r="AR26" s="2" t="str">
        <f>IF(Footer[[#This Row],[Column37]]&lt;&gt;"","XXX","")</f>
        <v/>
      </c>
      <c r="AS26" s="2" t="str">
        <f>IF(Footer[[#This Row],[Column38]]&lt;&gt;"","XXX","")</f>
        <v/>
      </c>
      <c r="AT26" s="2" t="str">
        <f>IF(Footer[[#This Row],[Column39]]&lt;&gt;"","XXX","")</f>
        <v/>
      </c>
      <c r="AU26" s="2" t="str">
        <f>IF(Footer[[#This Row],[Column40]]&lt;&gt;"","XXX","")</f>
        <v/>
      </c>
      <c r="AV26" s="2" t="str">
        <f>IF(Footer[[#This Row],[Column41]]&lt;&gt;"","XXX","")</f>
        <v/>
      </c>
      <c r="AW26" s="6" t="str">
        <f>IF(Footer[[#This Row],[Column42]]&lt;&gt;"","XXX","")</f>
        <v/>
      </c>
      <c r="AX26" s="2" t="str">
        <f>IF(Footer[[#This Row],[Column43]]&lt;&gt;"","XXX","")</f>
        <v/>
      </c>
      <c r="AY26" s="2" t="str">
        <f>IF(Footer[[#This Row],[Column44]]&lt;&gt;"","XXX","")</f>
        <v/>
      </c>
      <c r="AZ26" s="2" t="str">
        <f>IF(Footer[[#This Row],[Column45]]&lt;&gt;"","XXX","")</f>
        <v/>
      </c>
      <c r="BA26" s="2" t="str">
        <f>IF(Footer[[#This Row],[Column46]]&lt;&gt;"","XXX","")</f>
        <v/>
      </c>
      <c r="BB26" s="2" t="str">
        <f>IF(Footer[[#This Row],[Column47]]&lt;&gt;"","XXX","")</f>
        <v/>
      </c>
      <c r="BC26" s="2" t="str">
        <f>IF(Footer[[#This Row],[Column48]]&lt;&gt;"","XXX","")</f>
        <v/>
      </c>
      <c r="BD26" s="2" t="str">
        <f>IF(Footer[[#This Row],[Column49]]&lt;&gt;"","XXX","")</f>
        <v/>
      </c>
      <c r="BE26" s="2" t="str">
        <f>IF(Footer[[#This Row],[Column50]]&lt;&gt;"","XXX","")</f>
        <v/>
      </c>
      <c r="BF26" s="2" t="str">
        <f>IF(Footer[[#This Row],[Column51]]&lt;&gt;"","XXX","")</f>
        <v/>
      </c>
      <c r="BG26" s="2" t="str">
        <f>IF(Footer[[#This Row],[Column52]]&lt;&gt;"","XXX","")</f>
        <v/>
      </c>
      <c r="BH26" s="2" t="str">
        <f>IF(Footer[[#This Row],[Column53]]&lt;&gt;"","XXX","")</f>
        <v/>
      </c>
      <c r="BI26" s="2" t="str">
        <f>IF(Footer[[#This Row],[Column54]]&lt;&gt;"","XXX","")</f>
        <v/>
      </c>
      <c r="BJ26" s="6" t="str">
        <f>IF(Footer[[#This Row],[Column1]]&lt;&gt;"",SUBSTITUTE(_xlfn.TEXTJOIN(",",TRUE,Footer[[#This Row],[Column1]:[Column61]]),"XXX",""),"")</f>
        <v/>
      </c>
    </row>
    <row r="27" spans="1:62" x14ac:dyDescent="0.25">
      <c r="A27" s="2" t="str">
        <f>IF(Footer[[#This Row],[Column8]]&lt;&gt;"","Data","")</f>
        <v/>
      </c>
      <c r="B27" s="2" t="str">
        <f>IF(Footer[[#This Row],[Column8]]&lt;&gt;"","0","")</f>
        <v/>
      </c>
      <c r="C27" s="2" t="str">
        <f>IF(Footer[[#This Row],[Column8]]&lt;&gt;"","exercise_title","")</f>
        <v/>
      </c>
      <c r="D27" s="2" t="str">
        <f>IF(Footer[[#This Row],[Column8]]&lt;&gt;"","wkt_step_name","")</f>
        <v/>
      </c>
      <c r="E27" s="4" t="str" cm="1">
        <f t="array" ref="E27">IFERROR(INDEX(_xlfn.UNIQUE(_xlfn._xlws.FILTER(Data[Exercise],Data[Exercise]&lt;&gt;""),FALSE,FALSE),ROW(Footer[[#This Row],[Column5]])-ROW($E$14),1),"")</f>
        <v/>
      </c>
      <c r="F27" s="2" t="str">
        <f>IF(Footer[[#This Row],[Column5]]&lt;&gt;"","XXX","")</f>
        <v/>
      </c>
      <c r="G27" s="2" t="str">
        <f>IF(Footer[[#This Row],[Column8]]&lt;&gt;"","message_index","")</f>
        <v/>
      </c>
      <c r="H27" s="4" t="str">
        <f>IF(Footer[[#This Row],[Column5]]&lt;&gt;"",ROW(Footer[[#This Row],[Column5]])-ROW($E$15),"")</f>
        <v/>
      </c>
      <c r="I27" s="2" t="str">
        <f>IF(Footer[[#This Row],[Column8]]&lt;&gt;"","XXX","")</f>
        <v/>
      </c>
      <c r="J27" s="2" t="str">
        <f>IF(Footer[[#This Row],[Column8]]&lt;&gt;"","exercise_category","")</f>
        <v/>
      </c>
      <c r="K27" s="2"/>
      <c r="L27" s="2" t="str">
        <f>IF(Footer[[#This Row],[Column11]]&lt;&gt;"","XXX","")</f>
        <v/>
      </c>
      <c r="M27" s="2" t="str">
        <f>IF(AND(Footer[[#This Row],[Column8]]&lt;&gt;"",Footer[[#This Row],[Column14]]&lt;&gt;""),"exercise_name","")</f>
        <v/>
      </c>
      <c r="N27" s="4" t="str">
        <f>IF(Footer[[#This Row],[Column8]]&lt;&gt;"",IF(VLOOKUP(Footer[[#This Row],[Column5]],Table_Exercises[],3,FALSE)="/","XXX",VLOOKUP(Footer[[#This Row],[Column5]],Table_Exercises[],3,FALSE)),"")</f>
        <v/>
      </c>
      <c r="O27" s="2" t="str">
        <f>IF(Footer[[#This Row],[Column8]]&lt;&gt;"","XXX","")</f>
        <v/>
      </c>
      <c r="P27" s="2" t="str">
        <f>IF(Footer[[#This Row],[Column9]]&lt;&gt;"","XXX","")</f>
        <v/>
      </c>
      <c r="Q27" s="2" t="str">
        <f>IF(Footer[[#This Row],[Column10]]&lt;&gt;"","XXX","")</f>
        <v/>
      </c>
      <c r="R27" s="2" t="str">
        <f>IF(Footer[[#This Row],[Column11]]&lt;&gt;"","XXX","")</f>
        <v/>
      </c>
      <c r="S27" s="2" t="str">
        <f>IF(Footer[[#This Row],[Column12]]&lt;&gt;"","XXX","")</f>
        <v/>
      </c>
      <c r="T27" s="2" t="str">
        <f>IF(Footer[[#This Row],[Column13]]&lt;&gt;"","XXX","")</f>
        <v/>
      </c>
      <c r="U27" s="2" t="str">
        <f>IF(Footer[[#This Row],[Column14]]&lt;&gt;"","XXX","")</f>
        <v/>
      </c>
      <c r="V27" s="2" t="str">
        <f>IF(Footer[[#This Row],[Column15]]&lt;&gt;"","XXX","")</f>
        <v/>
      </c>
      <c r="W27" s="2" t="str">
        <f>IF(Footer[[#This Row],[Column16]]&lt;&gt;"","XXX","")</f>
        <v/>
      </c>
      <c r="X27" s="2" t="str">
        <f>IF(Footer[[#This Row],[Column17]]&lt;&gt;"","XXX","")</f>
        <v/>
      </c>
      <c r="Y27" s="2" t="str">
        <f>IF(Footer[[#This Row],[Column18]]&lt;&gt;"","XXX","")</f>
        <v/>
      </c>
      <c r="Z27" s="2" t="str">
        <f>IF(Footer[[#This Row],[Column19]]&lt;&gt;"","XXX","")</f>
        <v/>
      </c>
      <c r="AA27" s="2" t="str">
        <f>IF(Footer[[#This Row],[Column20]]&lt;&gt;"","XXX","")</f>
        <v/>
      </c>
      <c r="AB27" s="2" t="str">
        <f>IF(Footer[[#This Row],[Column21]]&lt;&gt;"","XXX","")</f>
        <v/>
      </c>
      <c r="AC27" s="2" t="str">
        <f>IF(Footer[[#This Row],[Column22]]&lt;&gt;"","XXX","")</f>
        <v/>
      </c>
      <c r="AD27" s="2" t="str">
        <f>IF(Footer[[#This Row],[Column23]]&lt;&gt;"","XXX","")</f>
        <v/>
      </c>
      <c r="AE27" s="2" t="str">
        <f>IF(Footer[[#This Row],[Column24]]&lt;&gt;"","XXX","")</f>
        <v/>
      </c>
      <c r="AF27" s="2" t="str">
        <f>IF(Footer[[#This Row],[Column25]]&lt;&gt;"","XXX","")</f>
        <v/>
      </c>
      <c r="AG27" s="2" t="str">
        <f>IF(Footer[[#This Row],[Column26]]&lt;&gt;"","XXX","")</f>
        <v/>
      </c>
      <c r="AH27" s="2" t="str">
        <f>IF(Footer[[#This Row],[Column27]]&lt;&gt;"","XXX","")</f>
        <v/>
      </c>
      <c r="AI27" s="2" t="str">
        <f>IF(Footer[[#This Row],[Column28]]&lt;&gt;"","XXX","")</f>
        <v/>
      </c>
      <c r="AJ27" s="2" t="str">
        <f>IF(Footer[[#This Row],[Column29]]&lt;&gt;"","XXX","")</f>
        <v/>
      </c>
      <c r="AK27" s="2" t="str">
        <f>IF(Footer[[#This Row],[Column30]]&lt;&gt;"","XXX","")</f>
        <v/>
      </c>
      <c r="AL27" s="2" t="str">
        <f>IF(Footer[[#This Row],[Column31]]&lt;&gt;"","XXX","")</f>
        <v/>
      </c>
      <c r="AM27" s="2" t="str">
        <f>IF(Footer[[#This Row],[Column32]]&lt;&gt;"","XXX","")</f>
        <v/>
      </c>
      <c r="AN27" s="2" t="str">
        <f>IF(Footer[[#This Row],[Column33]]&lt;&gt;"","XXX","")</f>
        <v/>
      </c>
      <c r="AO27" s="2" t="str">
        <f>IF(Footer[[#This Row],[Column34]]&lt;&gt;"","XXX","")</f>
        <v/>
      </c>
      <c r="AP27" s="2" t="str">
        <f>IF(Footer[[#This Row],[Column35]]&lt;&gt;"","XXX","")</f>
        <v/>
      </c>
      <c r="AQ27" s="2" t="str">
        <f>IF(Footer[[#This Row],[Column36]]&lt;&gt;"","XXX","")</f>
        <v/>
      </c>
      <c r="AR27" s="2" t="str">
        <f>IF(Footer[[#This Row],[Column37]]&lt;&gt;"","XXX","")</f>
        <v/>
      </c>
      <c r="AS27" s="2" t="str">
        <f>IF(Footer[[#This Row],[Column38]]&lt;&gt;"","XXX","")</f>
        <v/>
      </c>
      <c r="AT27" s="2" t="str">
        <f>IF(Footer[[#This Row],[Column39]]&lt;&gt;"","XXX","")</f>
        <v/>
      </c>
      <c r="AU27" s="2" t="str">
        <f>IF(Footer[[#This Row],[Column40]]&lt;&gt;"","XXX","")</f>
        <v/>
      </c>
      <c r="AV27" s="2" t="str">
        <f>IF(Footer[[#This Row],[Column41]]&lt;&gt;"","XXX","")</f>
        <v/>
      </c>
      <c r="AW27" s="6" t="str">
        <f>IF(Footer[[#This Row],[Column42]]&lt;&gt;"","XXX","")</f>
        <v/>
      </c>
      <c r="AX27" s="2" t="str">
        <f>IF(Footer[[#This Row],[Column43]]&lt;&gt;"","XXX","")</f>
        <v/>
      </c>
      <c r="AY27" s="2" t="str">
        <f>IF(Footer[[#This Row],[Column44]]&lt;&gt;"","XXX","")</f>
        <v/>
      </c>
      <c r="AZ27" s="2" t="str">
        <f>IF(Footer[[#This Row],[Column45]]&lt;&gt;"","XXX","")</f>
        <v/>
      </c>
      <c r="BA27" s="2" t="str">
        <f>IF(Footer[[#This Row],[Column46]]&lt;&gt;"","XXX","")</f>
        <v/>
      </c>
      <c r="BB27" s="2" t="str">
        <f>IF(Footer[[#This Row],[Column47]]&lt;&gt;"","XXX","")</f>
        <v/>
      </c>
      <c r="BC27" s="2" t="str">
        <f>IF(Footer[[#This Row],[Column48]]&lt;&gt;"","XXX","")</f>
        <v/>
      </c>
      <c r="BD27" s="2" t="str">
        <f>IF(Footer[[#This Row],[Column49]]&lt;&gt;"","XXX","")</f>
        <v/>
      </c>
      <c r="BE27" s="2" t="str">
        <f>IF(Footer[[#This Row],[Column50]]&lt;&gt;"","XXX","")</f>
        <v/>
      </c>
      <c r="BF27" s="2" t="str">
        <f>IF(Footer[[#This Row],[Column51]]&lt;&gt;"","XXX","")</f>
        <v/>
      </c>
      <c r="BG27" s="2" t="str">
        <f>IF(Footer[[#This Row],[Column52]]&lt;&gt;"","XXX","")</f>
        <v/>
      </c>
      <c r="BH27" s="2" t="str">
        <f>IF(Footer[[#This Row],[Column53]]&lt;&gt;"","XXX","")</f>
        <v/>
      </c>
      <c r="BI27" s="2" t="str">
        <f>IF(Footer[[#This Row],[Column54]]&lt;&gt;"","XXX","")</f>
        <v/>
      </c>
      <c r="BJ27" s="6" t="str">
        <f>IF(Footer[[#This Row],[Column1]]&lt;&gt;"",SUBSTITUTE(_xlfn.TEXTJOIN(",",TRUE,Footer[[#This Row],[Column1]:[Column61]]),"XXX",""),"")</f>
        <v/>
      </c>
    </row>
    <row r="28" spans="1:62" x14ac:dyDescent="0.25">
      <c r="A28" s="2" t="str">
        <f>IF(Footer[[#This Row],[Column8]]&lt;&gt;"","Data","")</f>
        <v/>
      </c>
      <c r="B28" s="2" t="str">
        <f>IF(Footer[[#This Row],[Column8]]&lt;&gt;"","0","")</f>
        <v/>
      </c>
      <c r="C28" s="2" t="str">
        <f>IF(Footer[[#This Row],[Column8]]&lt;&gt;"","exercise_title","")</f>
        <v/>
      </c>
      <c r="D28" s="2" t="str">
        <f>IF(Footer[[#This Row],[Column8]]&lt;&gt;"","wkt_step_name","")</f>
        <v/>
      </c>
      <c r="E28" s="4" t="str" cm="1">
        <f t="array" ref="E28">IFERROR(INDEX(_xlfn.UNIQUE(_xlfn._xlws.FILTER(Data[Exercise],Data[Exercise]&lt;&gt;""),FALSE,FALSE),ROW(Footer[[#This Row],[Column5]])-ROW($E$14),1),"")</f>
        <v/>
      </c>
      <c r="F28" s="2" t="str">
        <f>IF(Footer[[#This Row],[Column5]]&lt;&gt;"","XXX","")</f>
        <v/>
      </c>
      <c r="G28" s="2" t="str">
        <f>IF(Footer[[#This Row],[Column8]]&lt;&gt;"","message_index","")</f>
        <v/>
      </c>
      <c r="H28" s="4" t="str">
        <f>IF(Footer[[#This Row],[Column5]]&lt;&gt;"",ROW(Footer[[#This Row],[Column5]])-ROW($E$15),"")</f>
        <v/>
      </c>
      <c r="I28" s="2" t="str">
        <f>IF(Footer[[#This Row],[Column8]]&lt;&gt;"","XXX","")</f>
        <v/>
      </c>
      <c r="J28" s="2" t="str">
        <f>IF(Footer[[#This Row],[Column8]]&lt;&gt;"","exercise_category","")</f>
        <v/>
      </c>
      <c r="K28" s="2"/>
      <c r="L28" s="2" t="str">
        <f>IF(Footer[[#This Row],[Column11]]&lt;&gt;"","XXX","")</f>
        <v/>
      </c>
      <c r="M28" s="2" t="str">
        <f>IF(AND(Footer[[#This Row],[Column8]]&lt;&gt;"",Footer[[#This Row],[Column14]]&lt;&gt;""),"exercise_name","")</f>
        <v/>
      </c>
      <c r="N28" s="4" t="str">
        <f>IF(Footer[[#This Row],[Column8]]&lt;&gt;"",IF(VLOOKUP(Footer[[#This Row],[Column5]],Table_Exercises[],3,FALSE)="/","XXX",VLOOKUP(Footer[[#This Row],[Column5]],Table_Exercises[],3,FALSE)),"")</f>
        <v/>
      </c>
      <c r="O28" s="2" t="str">
        <f>IF(Footer[[#This Row],[Column8]]&lt;&gt;"","XXX","")</f>
        <v/>
      </c>
      <c r="P28" s="2" t="str">
        <f>IF(Footer[[#This Row],[Column9]]&lt;&gt;"","XXX","")</f>
        <v/>
      </c>
      <c r="Q28" s="2" t="str">
        <f>IF(Footer[[#This Row],[Column10]]&lt;&gt;"","XXX","")</f>
        <v/>
      </c>
      <c r="R28" s="2" t="str">
        <f>IF(Footer[[#This Row],[Column11]]&lt;&gt;"","XXX","")</f>
        <v/>
      </c>
      <c r="S28" s="2" t="str">
        <f>IF(Footer[[#This Row],[Column12]]&lt;&gt;"","XXX","")</f>
        <v/>
      </c>
      <c r="T28" s="2" t="str">
        <f>IF(Footer[[#This Row],[Column13]]&lt;&gt;"","XXX","")</f>
        <v/>
      </c>
      <c r="U28" s="2" t="str">
        <f>IF(Footer[[#This Row],[Column14]]&lt;&gt;"","XXX","")</f>
        <v/>
      </c>
      <c r="V28" s="2" t="str">
        <f>IF(Footer[[#This Row],[Column15]]&lt;&gt;"","XXX","")</f>
        <v/>
      </c>
      <c r="W28" s="2" t="str">
        <f>IF(Footer[[#This Row],[Column16]]&lt;&gt;"","XXX","")</f>
        <v/>
      </c>
      <c r="X28" s="2" t="str">
        <f>IF(Footer[[#This Row],[Column17]]&lt;&gt;"","XXX","")</f>
        <v/>
      </c>
      <c r="Y28" s="2" t="str">
        <f>IF(Footer[[#This Row],[Column18]]&lt;&gt;"","XXX","")</f>
        <v/>
      </c>
      <c r="Z28" s="2" t="str">
        <f>IF(Footer[[#This Row],[Column19]]&lt;&gt;"","XXX","")</f>
        <v/>
      </c>
      <c r="AA28" s="2" t="str">
        <f>IF(Footer[[#This Row],[Column20]]&lt;&gt;"","XXX","")</f>
        <v/>
      </c>
      <c r="AB28" s="2" t="str">
        <f>IF(Footer[[#This Row],[Column21]]&lt;&gt;"","XXX","")</f>
        <v/>
      </c>
      <c r="AC28" s="2" t="str">
        <f>IF(Footer[[#This Row],[Column22]]&lt;&gt;"","XXX","")</f>
        <v/>
      </c>
      <c r="AD28" s="2" t="str">
        <f>IF(Footer[[#This Row],[Column23]]&lt;&gt;"","XXX","")</f>
        <v/>
      </c>
      <c r="AE28" s="2" t="str">
        <f>IF(Footer[[#This Row],[Column24]]&lt;&gt;"","XXX","")</f>
        <v/>
      </c>
      <c r="AF28" s="2" t="str">
        <f>IF(Footer[[#This Row],[Column25]]&lt;&gt;"","XXX","")</f>
        <v/>
      </c>
      <c r="AG28" s="2" t="str">
        <f>IF(Footer[[#This Row],[Column26]]&lt;&gt;"","XXX","")</f>
        <v/>
      </c>
      <c r="AH28" s="2" t="str">
        <f>IF(Footer[[#This Row],[Column27]]&lt;&gt;"","XXX","")</f>
        <v/>
      </c>
      <c r="AI28" s="2" t="str">
        <f>IF(Footer[[#This Row],[Column28]]&lt;&gt;"","XXX","")</f>
        <v/>
      </c>
      <c r="AJ28" s="2" t="str">
        <f>IF(Footer[[#This Row],[Column29]]&lt;&gt;"","XXX","")</f>
        <v/>
      </c>
      <c r="AK28" s="2" t="str">
        <f>IF(Footer[[#This Row],[Column30]]&lt;&gt;"","XXX","")</f>
        <v/>
      </c>
      <c r="AL28" s="2" t="str">
        <f>IF(Footer[[#This Row],[Column31]]&lt;&gt;"","XXX","")</f>
        <v/>
      </c>
      <c r="AM28" s="2" t="str">
        <f>IF(Footer[[#This Row],[Column32]]&lt;&gt;"","XXX","")</f>
        <v/>
      </c>
      <c r="AN28" s="2" t="str">
        <f>IF(Footer[[#This Row],[Column33]]&lt;&gt;"","XXX","")</f>
        <v/>
      </c>
      <c r="AO28" s="2" t="str">
        <f>IF(Footer[[#This Row],[Column34]]&lt;&gt;"","XXX","")</f>
        <v/>
      </c>
      <c r="AP28" s="2" t="str">
        <f>IF(Footer[[#This Row],[Column35]]&lt;&gt;"","XXX","")</f>
        <v/>
      </c>
      <c r="AQ28" s="2" t="str">
        <f>IF(Footer[[#This Row],[Column36]]&lt;&gt;"","XXX","")</f>
        <v/>
      </c>
      <c r="AR28" s="2" t="str">
        <f>IF(Footer[[#This Row],[Column37]]&lt;&gt;"","XXX","")</f>
        <v/>
      </c>
      <c r="AS28" s="2" t="str">
        <f>IF(Footer[[#This Row],[Column38]]&lt;&gt;"","XXX","")</f>
        <v/>
      </c>
      <c r="AT28" s="2" t="str">
        <f>IF(Footer[[#This Row],[Column39]]&lt;&gt;"","XXX","")</f>
        <v/>
      </c>
      <c r="AU28" s="2" t="str">
        <f>IF(Footer[[#This Row],[Column40]]&lt;&gt;"","XXX","")</f>
        <v/>
      </c>
      <c r="AV28" s="2" t="str">
        <f>IF(Footer[[#This Row],[Column41]]&lt;&gt;"","XXX","")</f>
        <v/>
      </c>
      <c r="AW28" s="6" t="str">
        <f>IF(Footer[[#This Row],[Column42]]&lt;&gt;"","XXX","")</f>
        <v/>
      </c>
      <c r="AX28" s="2" t="str">
        <f>IF(Footer[[#This Row],[Column43]]&lt;&gt;"","XXX","")</f>
        <v/>
      </c>
      <c r="AY28" s="2" t="str">
        <f>IF(Footer[[#This Row],[Column44]]&lt;&gt;"","XXX","")</f>
        <v/>
      </c>
      <c r="AZ28" s="2" t="str">
        <f>IF(Footer[[#This Row],[Column45]]&lt;&gt;"","XXX","")</f>
        <v/>
      </c>
      <c r="BA28" s="2" t="str">
        <f>IF(Footer[[#This Row],[Column46]]&lt;&gt;"","XXX","")</f>
        <v/>
      </c>
      <c r="BB28" s="2" t="str">
        <f>IF(Footer[[#This Row],[Column47]]&lt;&gt;"","XXX","")</f>
        <v/>
      </c>
      <c r="BC28" s="2" t="str">
        <f>IF(Footer[[#This Row],[Column48]]&lt;&gt;"","XXX","")</f>
        <v/>
      </c>
      <c r="BD28" s="2" t="str">
        <f>IF(Footer[[#This Row],[Column49]]&lt;&gt;"","XXX","")</f>
        <v/>
      </c>
      <c r="BE28" s="2" t="str">
        <f>IF(Footer[[#This Row],[Column50]]&lt;&gt;"","XXX","")</f>
        <v/>
      </c>
      <c r="BF28" s="2" t="str">
        <f>IF(Footer[[#This Row],[Column51]]&lt;&gt;"","XXX","")</f>
        <v/>
      </c>
      <c r="BG28" s="2" t="str">
        <f>IF(Footer[[#This Row],[Column52]]&lt;&gt;"","XXX","")</f>
        <v/>
      </c>
      <c r="BH28" s="2" t="str">
        <f>IF(Footer[[#This Row],[Column53]]&lt;&gt;"","XXX","")</f>
        <v/>
      </c>
      <c r="BI28" s="2" t="str">
        <f>IF(Footer[[#This Row],[Column54]]&lt;&gt;"","XXX","")</f>
        <v/>
      </c>
      <c r="BJ28" s="6" t="str">
        <f>IF(Footer[[#This Row],[Column1]]&lt;&gt;"",SUBSTITUTE(_xlfn.TEXTJOIN(",",TRUE,Footer[[#This Row],[Column1]:[Column61]]),"XXX",""),"")</f>
        <v/>
      </c>
    </row>
    <row r="29" spans="1:62" x14ac:dyDescent="0.25">
      <c r="A29" s="2" t="str">
        <f>IF(Footer[[#This Row],[Column8]]&lt;&gt;"","Data","")</f>
        <v/>
      </c>
      <c r="B29" s="2" t="str">
        <f>IF(Footer[[#This Row],[Column8]]&lt;&gt;"","0","")</f>
        <v/>
      </c>
      <c r="C29" s="2" t="str">
        <f>IF(Footer[[#This Row],[Column8]]&lt;&gt;"","exercise_title","")</f>
        <v/>
      </c>
      <c r="D29" s="2" t="str">
        <f>IF(Footer[[#This Row],[Column8]]&lt;&gt;"","wkt_step_name","")</f>
        <v/>
      </c>
      <c r="E29" s="4" t="str" cm="1">
        <f t="array" ref="E29">IFERROR(INDEX(_xlfn.UNIQUE(_xlfn._xlws.FILTER(Data[Exercise],Data[Exercise]&lt;&gt;""),FALSE,FALSE),ROW(Footer[[#This Row],[Column5]])-ROW($E$14),1),"")</f>
        <v/>
      </c>
      <c r="F29" s="2" t="str">
        <f>IF(Footer[[#This Row],[Column5]]&lt;&gt;"","XXX","")</f>
        <v/>
      </c>
      <c r="G29" s="2" t="str">
        <f>IF(Footer[[#This Row],[Column8]]&lt;&gt;"","message_index","")</f>
        <v/>
      </c>
      <c r="H29" s="4" t="str">
        <f>IF(Footer[[#This Row],[Column5]]&lt;&gt;"",ROW(Footer[[#This Row],[Column5]])-ROW($E$15),"")</f>
        <v/>
      </c>
      <c r="I29" s="2" t="str">
        <f>IF(Footer[[#This Row],[Column8]]&lt;&gt;"","XXX","")</f>
        <v/>
      </c>
      <c r="J29" s="2" t="str">
        <f>IF(Footer[[#This Row],[Column8]]&lt;&gt;"","exercise_category","")</f>
        <v/>
      </c>
      <c r="K29" s="2"/>
      <c r="L29" s="2" t="str">
        <f>IF(Footer[[#This Row],[Column11]]&lt;&gt;"","XXX","")</f>
        <v/>
      </c>
      <c r="M29" s="2" t="str">
        <f>IF(AND(Footer[[#This Row],[Column8]]&lt;&gt;"",Footer[[#This Row],[Column14]]&lt;&gt;""),"exercise_name","")</f>
        <v/>
      </c>
      <c r="N29" s="4" t="str">
        <f>IF(Footer[[#This Row],[Column8]]&lt;&gt;"",IF(VLOOKUP(Footer[[#This Row],[Column5]],Table_Exercises[],3,FALSE)="/","XXX",VLOOKUP(Footer[[#This Row],[Column5]],Table_Exercises[],3,FALSE)),"")</f>
        <v/>
      </c>
      <c r="O29" s="2" t="str">
        <f>IF(Footer[[#This Row],[Column8]]&lt;&gt;"","XXX","")</f>
        <v/>
      </c>
      <c r="P29" s="2" t="str">
        <f>IF(Footer[[#This Row],[Column9]]&lt;&gt;"","XXX","")</f>
        <v/>
      </c>
      <c r="Q29" s="2" t="str">
        <f>IF(Footer[[#This Row],[Column10]]&lt;&gt;"","XXX","")</f>
        <v/>
      </c>
      <c r="R29" s="2" t="str">
        <f>IF(Footer[[#This Row],[Column11]]&lt;&gt;"","XXX","")</f>
        <v/>
      </c>
      <c r="S29" s="2" t="str">
        <f>IF(Footer[[#This Row],[Column12]]&lt;&gt;"","XXX","")</f>
        <v/>
      </c>
      <c r="T29" s="2" t="str">
        <f>IF(Footer[[#This Row],[Column13]]&lt;&gt;"","XXX","")</f>
        <v/>
      </c>
      <c r="U29" s="2" t="str">
        <f>IF(Footer[[#This Row],[Column14]]&lt;&gt;"","XXX","")</f>
        <v/>
      </c>
      <c r="V29" s="2" t="str">
        <f>IF(Footer[[#This Row],[Column15]]&lt;&gt;"","XXX","")</f>
        <v/>
      </c>
      <c r="W29" s="2" t="str">
        <f>IF(Footer[[#This Row],[Column16]]&lt;&gt;"","XXX","")</f>
        <v/>
      </c>
      <c r="X29" s="2" t="str">
        <f>IF(Footer[[#This Row],[Column17]]&lt;&gt;"","XXX","")</f>
        <v/>
      </c>
      <c r="Y29" s="2" t="str">
        <f>IF(Footer[[#This Row],[Column18]]&lt;&gt;"","XXX","")</f>
        <v/>
      </c>
      <c r="Z29" s="2" t="str">
        <f>IF(Footer[[#This Row],[Column19]]&lt;&gt;"","XXX","")</f>
        <v/>
      </c>
      <c r="AA29" s="2" t="str">
        <f>IF(Footer[[#This Row],[Column20]]&lt;&gt;"","XXX","")</f>
        <v/>
      </c>
      <c r="AB29" s="2" t="str">
        <f>IF(Footer[[#This Row],[Column21]]&lt;&gt;"","XXX","")</f>
        <v/>
      </c>
      <c r="AC29" s="2" t="str">
        <f>IF(Footer[[#This Row],[Column22]]&lt;&gt;"","XXX","")</f>
        <v/>
      </c>
      <c r="AD29" s="2" t="str">
        <f>IF(Footer[[#This Row],[Column23]]&lt;&gt;"","XXX","")</f>
        <v/>
      </c>
      <c r="AE29" s="2" t="str">
        <f>IF(Footer[[#This Row],[Column24]]&lt;&gt;"","XXX","")</f>
        <v/>
      </c>
      <c r="AF29" s="2" t="str">
        <f>IF(Footer[[#This Row],[Column25]]&lt;&gt;"","XXX","")</f>
        <v/>
      </c>
      <c r="AG29" s="2" t="str">
        <f>IF(Footer[[#This Row],[Column26]]&lt;&gt;"","XXX","")</f>
        <v/>
      </c>
      <c r="AH29" s="2" t="str">
        <f>IF(Footer[[#This Row],[Column27]]&lt;&gt;"","XXX","")</f>
        <v/>
      </c>
      <c r="AI29" s="2" t="str">
        <f>IF(Footer[[#This Row],[Column28]]&lt;&gt;"","XXX","")</f>
        <v/>
      </c>
      <c r="AJ29" s="2" t="str">
        <f>IF(Footer[[#This Row],[Column29]]&lt;&gt;"","XXX","")</f>
        <v/>
      </c>
      <c r="AK29" s="2" t="str">
        <f>IF(Footer[[#This Row],[Column30]]&lt;&gt;"","XXX","")</f>
        <v/>
      </c>
      <c r="AL29" s="2" t="str">
        <f>IF(Footer[[#This Row],[Column31]]&lt;&gt;"","XXX","")</f>
        <v/>
      </c>
      <c r="AM29" s="2" t="str">
        <f>IF(Footer[[#This Row],[Column32]]&lt;&gt;"","XXX","")</f>
        <v/>
      </c>
      <c r="AN29" s="2" t="str">
        <f>IF(Footer[[#This Row],[Column33]]&lt;&gt;"","XXX","")</f>
        <v/>
      </c>
      <c r="AO29" s="2" t="str">
        <f>IF(Footer[[#This Row],[Column34]]&lt;&gt;"","XXX","")</f>
        <v/>
      </c>
      <c r="AP29" s="2" t="str">
        <f>IF(Footer[[#This Row],[Column35]]&lt;&gt;"","XXX","")</f>
        <v/>
      </c>
      <c r="AQ29" s="2" t="str">
        <f>IF(Footer[[#This Row],[Column36]]&lt;&gt;"","XXX","")</f>
        <v/>
      </c>
      <c r="AR29" s="2" t="str">
        <f>IF(Footer[[#This Row],[Column37]]&lt;&gt;"","XXX","")</f>
        <v/>
      </c>
      <c r="AS29" s="2" t="str">
        <f>IF(Footer[[#This Row],[Column38]]&lt;&gt;"","XXX","")</f>
        <v/>
      </c>
      <c r="AT29" s="2" t="str">
        <f>IF(Footer[[#This Row],[Column39]]&lt;&gt;"","XXX","")</f>
        <v/>
      </c>
      <c r="AU29" s="2" t="str">
        <f>IF(Footer[[#This Row],[Column40]]&lt;&gt;"","XXX","")</f>
        <v/>
      </c>
      <c r="AV29" s="2" t="str">
        <f>IF(Footer[[#This Row],[Column41]]&lt;&gt;"","XXX","")</f>
        <v/>
      </c>
      <c r="AW29" s="6" t="str">
        <f>IF(Footer[[#This Row],[Column42]]&lt;&gt;"","XXX","")</f>
        <v/>
      </c>
      <c r="AX29" s="2" t="str">
        <f>IF(Footer[[#This Row],[Column43]]&lt;&gt;"","XXX","")</f>
        <v/>
      </c>
      <c r="AY29" s="2" t="str">
        <f>IF(Footer[[#This Row],[Column44]]&lt;&gt;"","XXX","")</f>
        <v/>
      </c>
      <c r="AZ29" s="2" t="str">
        <f>IF(Footer[[#This Row],[Column45]]&lt;&gt;"","XXX","")</f>
        <v/>
      </c>
      <c r="BA29" s="2" t="str">
        <f>IF(Footer[[#This Row],[Column46]]&lt;&gt;"","XXX","")</f>
        <v/>
      </c>
      <c r="BB29" s="2" t="str">
        <f>IF(Footer[[#This Row],[Column47]]&lt;&gt;"","XXX","")</f>
        <v/>
      </c>
      <c r="BC29" s="2" t="str">
        <f>IF(Footer[[#This Row],[Column48]]&lt;&gt;"","XXX","")</f>
        <v/>
      </c>
      <c r="BD29" s="2" t="str">
        <f>IF(Footer[[#This Row],[Column49]]&lt;&gt;"","XXX","")</f>
        <v/>
      </c>
      <c r="BE29" s="2" t="str">
        <f>IF(Footer[[#This Row],[Column50]]&lt;&gt;"","XXX","")</f>
        <v/>
      </c>
      <c r="BF29" s="2" t="str">
        <f>IF(Footer[[#This Row],[Column51]]&lt;&gt;"","XXX","")</f>
        <v/>
      </c>
      <c r="BG29" s="2" t="str">
        <f>IF(Footer[[#This Row],[Column52]]&lt;&gt;"","XXX","")</f>
        <v/>
      </c>
      <c r="BH29" s="2" t="str">
        <f>IF(Footer[[#This Row],[Column53]]&lt;&gt;"","XXX","")</f>
        <v/>
      </c>
      <c r="BI29" s="2" t="str">
        <f>IF(Footer[[#This Row],[Column54]]&lt;&gt;"","XXX","")</f>
        <v/>
      </c>
      <c r="BJ29" s="6" t="str">
        <f>IF(Footer[[#This Row],[Column1]]&lt;&gt;"",SUBSTITUTE(_xlfn.TEXTJOIN(",",TRUE,Footer[[#This Row],[Column1]:[Column61]]),"XXX",""),"")</f>
        <v/>
      </c>
    </row>
    <row r="30" spans="1:62" x14ac:dyDescent="0.25">
      <c r="A30" s="2" t="str">
        <f>IF(Footer[[#This Row],[Column8]]&lt;&gt;"","Data","")</f>
        <v/>
      </c>
      <c r="B30" s="2" t="str">
        <f>IF(Footer[[#This Row],[Column8]]&lt;&gt;"","0","")</f>
        <v/>
      </c>
      <c r="C30" s="2" t="str">
        <f>IF(Footer[[#This Row],[Column8]]&lt;&gt;"","exercise_title","")</f>
        <v/>
      </c>
      <c r="D30" s="2" t="str">
        <f>IF(Footer[[#This Row],[Column8]]&lt;&gt;"","wkt_step_name","")</f>
        <v/>
      </c>
      <c r="E30" s="4" t="str" cm="1">
        <f t="array" ref="E30">IFERROR(INDEX(_xlfn.UNIQUE(_xlfn._xlws.FILTER(Data[Exercise],Data[Exercise]&lt;&gt;""),FALSE,FALSE),ROW(Footer[[#This Row],[Column5]])-ROW($E$14),1),"")</f>
        <v/>
      </c>
      <c r="F30" s="2" t="str">
        <f>IF(Footer[[#This Row],[Column5]]&lt;&gt;"","XXX","")</f>
        <v/>
      </c>
      <c r="G30" s="2" t="str">
        <f>IF(Footer[[#This Row],[Column8]]&lt;&gt;"","message_index","")</f>
        <v/>
      </c>
      <c r="H30" s="4" t="str">
        <f>IF(Footer[[#This Row],[Column5]]&lt;&gt;"",ROW(Footer[[#This Row],[Column5]])-ROW($E$15),"")</f>
        <v/>
      </c>
      <c r="I30" s="2" t="str">
        <f>IF(Footer[[#This Row],[Column8]]&lt;&gt;"","XXX","")</f>
        <v/>
      </c>
      <c r="J30" s="2" t="str">
        <f>IF(Footer[[#This Row],[Column8]]&lt;&gt;"","exercise_category","")</f>
        <v/>
      </c>
      <c r="K30" s="2"/>
      <c r="L30" s="2" t="str">
        <f>IF(Footer[[#This Row],[Column11]]&lt;&gt;"","XXX","")</f>
        <v/>
      </c>
      <c r="M30" s="2" t="str">
        <f>IF(AND(Footer[[#This Row],[Column8]]&lt;&gt;"",Footer[[#This Row],[Column14]]&lt;&gt;""),"exercise_name","")</f>
        <v/>
      </c>
      <c r="N30" s="4" t="str">
        <f>IF(Footer[[#This Row],[Column8]]&lt;&gt;"",IF(VLOOKUP(Footer[[#This Row],[Column5]],Table_Exercises[],3,FALSE)="/","XXX",VLOOKUP(Footer[[#This Row],[Column5]],Table_Exercises[],3,FALSE)),"")</f>
        <v/>
      </c>
      <c r="O30" s="2" t="str">
        <f>IF(Footer[[#This Row],[Column8]]&lt;&gt;"","XXX","")</f>
        <v/>
      </c>
      <c r="P30" s="2" t="str">
        <f>IF(Footer[[#This Row],[Column9]]&lt;&gt;"","XXX","")</f>
        <v/>
      </c>
      <c r="Q30" s="2" t="str">
        <f>IF(Footer[[#This Row],[Column10]]&lt;&gt;"","XXX","")</f>
        <v/>
      </c>
      <c r="R30" s="2" t="str">
        <f>IF(Footer[[#This Row],[Column11]]&lt;&gt;"","XXX","")</f>
        <v/>
      </c>
      <c r="S30" s="2" t="str">
        <f>IF(Footer[[#This Row],[Column12]]&lt;&gt;"","XXX","")</f>
        <v/>
      </c>
      <c r="T30" s="2" t="str">
        <f>IF(Footer[[#This Row],[Column13]]&lt;&gt;"","XXX","")</f>
        <v/>
      </c>
      <c r="U30" s="2" t="str">
        <f>IF(Footer[[#This Row],[Column14]]&lt;&gt;"","XXX","")</f>
        <v/>
      </c>
      <c r="V30" s="2" t="str">
        <f>IF(Footer[[#This Row],[Column15]]&lt;&gt;"","XXX","")</f>
        <v/>
      </c>
      <c r="W30" s="2" t="str">
        <f>IF(Footer[[#This Row],[Column16]]&lt;&gt;"","XXX","")</f>
        <v/>
      </c>
      <c r="X30" s="2" t="str">
        <f>IF(Footer[[#This Row],[Column17]]&lt;&gt;"","XXX","")</f>
        <v/>
      </c>
      <c r="Y30" s="2" t="str">
        <f>IF(Footer[[#This Row],[Column18]]&lt;&gt;"","XXX","")</f>
        <v/>
      </c>
      <c r="Z30" s="2" t="str">
        <f>IF(Footer[[#This Row],[Column19]]&lt;&gt;"","XXX","")</f>
        <v/>
      </c>
      <c r="AA30" s="2" t="str">
        <f>IF(Footer[[#This Row],[Column20]]&lt;&gt;"","XXX","")</f>
        <v/>
      </c>
      <c r="AB30" s="2" t="str">
        <f>IF(Footer[[#This Row],[Column21]]&lt;&gt;"","XXX","")</f>
        <v/>
      </c>
      <c r="AC30" s="2" t="str">
        <f>IF(Footer[[#This Row],[Column22]]&lt;&gt;"","XXX","")</f>
        <v/>
      </c>
      <c r="AD30" s="2" t="str">
        <f>IF(Footer[[#This Row],[Column23]]&lt;&gt;"","XXX","")</f>
        <v/>
      </c>
      <c r="AE30" s="2" t="str">
        <f>IF(Footer[[#This Row],[Column24]]&lt;&gt;"","XXX","")</f>
        <v/>
      </c>
      <c r="AF30" s="2" t="str">
        <f>IF(Footer[[#This Row],[Column25]]&lt;&gt;"","XXX","")</f>
        <v/>
      </c>
      <c r="AG30" s="2" t="str">
        <f>IF(Footer[[#This Row],[Column26]]&lt;&gt;"","XXX","")</f>
        <v/>
      </c>
      <c r="AH30" s="2" t="str">
        <f>IF(Footer[[#This Row],[Column27]]&lt;&gt;"","XXX","")</f>
        <v/>
      </c>
      <c r="AI30" s="2" t="str">
        <f>IF(Footer[[#This Row],[Column28]]&lt;&gt;"","XXX","")</f>
        <v/>
      </c>
      <c r="AJ30" s="2" t="str">
        <f>IF(Footer[[#This Row],[Column29]]&lt;&gt;"","XXX","")</f>
        <v/>
      </c>
      <c r="AK30" s="2" t="str">
        <f>IF(Footer[[#This Row],[Column30]]&lt;&gt;"","XXX","")</f>
        <v/>
      </c>
      <c r="AL30" s="2" t="str">
        <f>IF(Footer[[#This Row],[Column31]]&lt;&gt;"","XXX","")</f>
        <v/>
      </c>
      <c r="AM30" s="2" t="str">
        <f>IF(Footer[[#This Row],[Column32]]&lt;&gt;"","XXX","")</f>
        <v/>
      </c>
      <c r="AN30" s="2" t="str">
        <f>IF(Footer[[#This Row],[Column33]]&lt;&gt;"","XXX","")</f>
        <v/>
      </c>
      <c r="AO30" s="2" t="str">
        <f>IF(Footer[[#This Row],[Column34]]&lt;&gt;"","XXX","")</f>
        <v/>
      </c>
      <c r="AP30" s="2" t="str">
        <f>IF(Footer[[#This Row],[Column35]]&lt;&gt;"","XXX","")</f>
        <v/>
      </c>
      <c r="AQ30" s="2" t="str">
        <f>IF(Footer[[#This Row],[Column36]]&lt;&gt;"","XXX","")</f>
        <v/>
      </c>
      <c r="AR30" s="2" t="str">
        <f>IF(Footer[[#This Row],[Column37]]&lt;&gt;"","XXX","")</f>
        <v/>
      </c>
      <c r="AS30" s="2" t="str">
        <f>IF(Footer[[#This Row],[Column38]]&lt;&gt;"","XXX","")</f>
        <v/>
      </c>
      <c r="AT30" s="2" t="str">
        <f>IF(Footer[[#This Row],[Column39]]&lt;&gt;"","XXX","")</f>
        <v/>
      </c>
      <c r="AU30" s="2" t="str">
        <f>IF(Footer[[#This Row],[Column40]]&lt;&gt;"","XXX","")</f>
        <v/>
      </c>
      <c r="AV30" s="2" t="str">
        <f>IF(Footer[[#This Row],[Column41]]&lt;&gt;"","XXX","")</f>
        <v/>
      </c>
      <c r="AW30" s="6" t="str">
        <f>IF(Footer[[#This Row],[Column42]]&lt;&gt;"","XXX","")</f>
        <v/>
      </c>
      <c r="AX30" s="2" t="str">
        <f>IF(Footer[[#This Row],[Column43]]&lt;&gt;"","XXX","")</f>
        <v/>
      </c>
      <c r="AY30" s="2" t="str">
        <f>IF(Footer[[#This Row],[Column44]]&lt;&gt;"","XXX","")</f>
        <v/>
      </c>
      <c r="AZ30" s="2" t="str">
        <f>IF(Footer[[#This Row],[Column45]]&lt;&gt;"","XXX","")</f>
        <v/>
      </c>
      <c r="BA30" s="2" t="str">
        <f>IF(Footer[[#This Row],[Column46]]&lt;&gt;"","XXX","")</f>
        <v/>
      </c>
      <c r="BB30" s="2" t="str">
        <f>IF(Footer[[#This Row],[Column47]]&lt;&gt;"","XXX","")</f>
        <v/>
      </c>
      <c r="BC30" s="2" t="str">
        <f>IF(Footer[[#This Row],[Column48]]&lt;&gt;"","XXX","")</f>
        <v/>
      </c>
      <c r="BD30" s="2" t="str">
        <f>IF(Footer[[#This Row],[Column49]]&lt;&gt;"","XXX","")</f>
        <v/>
      </c>
      <c r="BE30" s="2" t="str">
        <f>IF(Footer[[#This Row],[Column50]]&lt;&gt;"","XXX","")</f>
        <v/>
      </c>
      <c r="BF30" s="2" t="str">
        <f>IF(Footer[[#This Row],[Column51]]&lt;&gt;"","XXX","")</f>
        <v/>
      </c>
      <c r="BG30" s="2" t="str">
        <f>IF(Footer[[#This Row],[Column52]]&lt;&gt;"","XXX","")</f>
        <v/>
      </c>
      <c r="BH30" s="2" t="str">
        <f>IF(Footer[[#This Row],[Column53]]&lt;&gt;"","XXX","")</f>
        <v/>
      </c>
      <c r="BI30" s="2" t="str">
        <f>IF(Footer[[#This Row],[Column54]]&lt;&gt;"","XXX","")</f>
        <v/>
      </c>
      <c r="BJ30" s="6" t="str">
        <f>IF(Footer[[#This Row],[Column1]]&lt;&gt;"",SUBSTITUTE(_xlfn.TEXTJOIN(",",TRUE,Footer[[#This Row],[Column1]:[Column61]]),"XXX",""),"")</f>
        <v/>
      </c>
    </row>
    <row r="31" spans="1:62" x14ac:dyDescent="0.25">
      <c r="A31" s="2" t="str">
        <f>IF(Footer[[#This Row],[Column8]]&lt;&gt;"","Data","")</f>
        <v/>
      </c>
      <c r="B31" s="2" t="str">
        <f>IF(Footer[[#This Row],[Column8]]&lt;&gt;"","0","")</f>
        <v/>
      </c>
      <c r="C31" s="2" t="str">
        <f>IF(Footer[[#This Row],[Column8]]&lt;&gt;"","exercise_title","")</f>
        <v/>
      </c>
      <c r="D31" s="2" t="str">
        <f>IF(Footer[[#This Row],[Column8]]&lt;&gt;"","wkt_step_name","")</f>
        <v/>
      </c>
      <c r="E31" s="4" t="str" cm="1">
        <f t="array" ref="E31">IFERROR(INDEX(_xlfn.UNIQUE(_xlfn._xlws.FILTER(Data[Exercise],Data[Exercise]&lt;&gt;""),FALSE,FALSE),ROW(Footer[[#This Row],[Column5]])-ROW($E$14),1),"")</f>
        <v/>
      </c>
      <c r="F31" s="2" t="str">
        <f>IF(Footer[[#This Row],[Column5]]&lt;&gt;"","XXX","")</f>
        <v/>
      </c>
      <c r="G31" s="2" t="str">
        <f>IF(Footer[[#This Row],[Column8]]&lt;&gt;"","message_index","")</f>
        <v/>
      </c>
      <c r="H31" s="4" t="str">
        <f>IF(Footer[[#This Row],[Column5]]&lt;&gt;"",ROW(Footer[[#This Row],[Column5]])-ROW($E$15),"")</f>
        <v/>
      </c>
      <c r="I31" s="2" t="str">
        <f>IF(Footer[[#This Row],[Column8]]&lt;&gt;"","XXX","")</f>
        <v/>
      </c>
      <c r="J31" s="2" t="str">
        <f>IF(Footer[[#This Row],[Column8]]&lt;&gt;"","exercise_category","")</f>
        <v/>
      </c>
      <c r="K31" s="2"/>
      <c r="L31" s="2" t="str">
        <f>IF(Footer[[#This Row],[Column11]]&lt;&gt;"","XXX","")</f>
        <v/>
      </c>
      <c r="M31" s="2" t="str">
        <f>IF(AND(Footer[[#This Row],[Column8]]&lt;&gt;"",Footer[[#This Row],[Column14]]&lt;&gt;""),"exercise_name","")</f>
        <v/>
      </c>
      <c r="N31" s="4" t="str">
        <f>IF(Footer[[#This Row],[Column8]]&lt;&gt;"",IF(VLOOKUP(Footer[[#This Row],[Column5]],Table_Exercises[],3,FALSE)="/","XXX",VLOOKUP(Footer[[#This Row],[Column5]],Table_Exercises[],3,FALSE)),"")</f>
        <v/>
      </c>
      <c r="O31" s="2" t="str">
        <f>IF(Footer[[#This Row],[Column8]]&lt;&gt;"","XXX","")</f>
        <v/>
      </c>
      <c r="P31" s="2" t="str">
        <f>IF(Footer[[#This Row],[Column9]]&lt;&gt;"","XXX","")</f>
        <v/>
      </c>
      <c r="Q31" s="2" t="str">
        <f>IF(Footer[[#This Row],[Column10]]&lt;&gt;"","XXX","")</f>
        <v/>
      </c>
      <c r="R31" s="2" t="str">
        <f>IF(Footer[[#This Row],[Column11]]&lt;&gt;"","XXX","")</f>
        <v/>
      </c>
      <c r="S31" s="2" t="str">
        <f>IF(Footer[[#This Row],[Column12]]&lt;&gt;"","XXX","")</f>
        <v/>
      </c>
      <c r="T31" s="2" t="str">
        <f>IF(Footer[[#This Row],[Column13]]&lt;&gt;"","XXX","")</f>
        <v/>
      </c>
      <c r="U31" s="2" t="str">
        <f>IF(Footer[[#This Row],[Column14]]&lt;&gt;"","XXX","")</f>
        <v/>
      </c>
      <c r="V31" s="2" t="str">
        <f>IF(Footer[[#This Row],[Column15]]&lt;&gt;"","XXX","")</f>
        <v/>
      </c>
      <c r="W31" s="2" t="str">
        <f>IF(Footer[[#This Row],[Column16]]&lt;&gt;"","XXX","")</f>
        <v/>
      </c>
      <c r="X31" s="2" t="str">
        <f>IF(Footer[[#This Row],[Column17]]&lt;&gt;"","XXX","")</f>
        <v/>
      </c>
      <c r="Y31" s="2" t="str">
        <f>IF(Footer[[#This Row],[Column18]]&lt;&gt;"","XXX","")</f>
        <v/>
      </c>
      <c r="Z31" s="2" t="str">
        <f>IF(Footer[[#This Row],[Column19]]&lt;&gt;"","XXX","")</f>
        <v/>
      </c>
      <c r="AA31" s="2" t="str">
        <f>IF(Footer[[#This Row],[Column20]]&lt;&gt;"","XXX","")</f>
        <v/>
      </c>
      <c r="AB31" s="2" t="str">
        <f>IF(Footer[[#This Row],[Column21]]&lt;&gt;"","XXX","")</f>
        <v/>
      </c>
      <c r="AC31" s="2" t="str">
        <f>IF(Footer[[#This Row],[Column22]]&lt;&gt;"","XXX","")</f>
        <v/>
      </c>
      <c r="AD31" s="2" t="str">
        <f>IF(Footer[[#This Row],[Column23]]&lt;&gt;"","XXX","")</f>
        <v/>
      </c>
      <c r="AE31" s="2" t="str">
        <f>IF(Footer[[#This Row],[Column24]]&lt;&gt;"","XXX","")</f>
        <v/>
      </c>
      <c r="AF31" s="2" t="str">
        <f>IF(Footer[[#This Row],[Column25]]&lt;&gt;"","XXX","")</f>
        <v/>
      </c>
      <c r="AG31" s="2" t="str">
        <f>IF(Footer[[#This Row],[Column26]]&lt;&gt;"","XXX","")</f>
        <v/>
      </c>
      <c r="AH31" s="2" t="str">
        <f>IF(Footer[[#This Row],[Column27]]&lt;&gt;"","XXX","")</f>
        <v/>
      </c>
      <c r="AI31" s="2" t="str">
        <f>IF(Footer[[#This Row],[Column28]]&lt;&gt;"","XXX","")</f>
        <v/>
      </c>
      <c r="AJ31" s="2" t="str">
        <f>IF(Footer[[#This Row],[Column29]]&lt;&gt;"","XXX","")</f>
        <v/>
      </c>
      <c r="AK31" s="2" t="str">
        <f>IF(Footer[[#This Row],[Column30]]&lt;&gt;"","XXX","")</f>
        <v/>
      </c>
      <c r="AL31" s="2" t="str">
        <f>IF(Footer[[#This Row],[Column31]]&lt;&gt;"","XXX","")</f>
        <v/>
      </c>
      <c r="AM31" s="2" t="str">
        <f>IF(Footer[[#This Row],[Column32]]&lt;&gt;"","XXX","")</f>
        <v/>
      </c>
      <c r="AN31" s="2" t="str">
        <f>IF(Footer[[#This Row],[Column33]]&lt;&gt;"","XXX","")</f>
        <v/>
      </c>
      <c r="AO31" s="2" t="str">
        <f>IF(Footer[[#This Row],[Column34]]&lt;&gt;"","XXX","")</f>
        <v/>
      </c>
      <c r="AP31" s="2" t="str">
        <f>IF(Footer[[#This Row],[Column35]]&lt;&gt;"","XXX","")</f>
        <v/>
      </c>
      <c r="AQ31" s="2" t="str">
        <f>IF(Footer[[#This Row],[Column36]]&lt;&gt;"","XXX","")</f>
        <v/>
      </c>
      <c r="AR31" s="2" t="str">
        <f>IF(Footer[[#This Row],[Column37]]&lt;&gt;"","XXX","")</f>
        <v/>
      </c>
      <c r="AS31" s="2" t="str">
        <f>IF(Footer[[#This Row],[Column38]]&lt;&gt;"","XXX","")</f>
        <v/>
      </c>
      <c r="AT31" s="2" t="str">
        <f>IF(Footer[[#This Row],[Column39]]&lt;&gt;"","XXX","")</f>
        <v/>
      </c>
      <c r="AU31" s="2" t="str">
        <f>IF(Footer[[#This Row],[Column40]]&lt;&gt;"","XXX","")</f>
        <v/>
      </c>
      <c r="AV31" s="2" t="str">
        <f>IF(Footer[[#This Row],[Column41]]&lt;&gt;"","XXX","")</f>
        <v/>
      </c>
      <c r="AW31" s="6" t="str">
        <f>IF(Footer[[#This Row],[Column42]]&lt;&gt;"","XXX","")</f>
        <v/>
      </c>
      <c r="AX31" s="2" t="str">
        <f>IF(Footer[[#This Row],[Column43]]&lt;&gt;"","XXX","")</f>
        <v/>
      </c>
      <c r="AY31" s="2" t="str">
        <f>IF(Footer[[#This Row],[Column44]]&lt;&gt;"","XXX","")</f>
        <v/>
      </c>
      <c r="AZ31" s="2" t="str">
        <f>IF(Footer[[#This Row],[Column45]]&lt;&gt;"","XXX","")</f>
        <v/>
      </c>
      <c r="BA31" s="2" t="str">
        <f>IF(Footer[[#This Row],[Column46]]&lt;&gt;"","XXX","")</f>
        <v/>
      </c>
      <c r="BB31" s="2" t="str">
        <f>IF(Footer[[#This Row],[Column47]]&lt;&gt;"","XXX","")</f>
        <v/>
      </c>
      <c r="BC31" s="2" t="str">
        <f>IF(Footer[[#This Row],[Column48]]&lt;&gt;"","XXX","")</f>
        <v/>
      </c>
      <c r="BD31" s="2" t="str">
        <f>IF(Footer[[#This Row],[Column49]]&lt;&gt;"","XXX","")</f>
        <v/>
      </c>
      <c r="BE31" s="2" t="str">
        <f>IF(Footer[[#This Row],[Column50]]&lt;&gt;"","XXX","")</f>
        <v/>
      </c>
      <c r="BF31" s="2" t="str">
        <f>IF(Footer[[#This Row],[Column51]]&lt;&gt;"","XXX","")</f>
        <v/>
      </c>
      <c r="BG31" s="2" t="str">
        <f>IF(Footer[[#This Row],[Column52]]&lt;&gt;"","XXX","")</f>
        <v/>
      </c>
      <c r="BH31" s="2" t="str">
        <f>IF(Footer[[#This Row],[Column53]]&lt;&gt;"","XXX","")</f>
        <v/>
      </c>
      <c r="BI31" s="2" t="str">
        <f>IF(Footer[[#This Row],[Column54]]&lt;&gt;"","XXX","")</f>
        <v/>
      </c>
      <c r="BJ31" s="6" t="str">
        <f>IF(Footer[[#This Row],[Column1]]&lt;&gt;"",SUBSTITUTE(_xlfn.TEXTJOIN(",",TRUE,Footer[[#This Row],[Column1]:[Column61]]),"XXX",""),"")</f>
        <v/>
      </c>
    </row>
    <row r="32" spans="1:62" x14ac:dyDescent="0.25">
      <c r="A32" s="2" t="str">
        <f>IF(Footer[[#This Row],[Column8]]&lt;&gt;"","Data","")</f>
        <v/>
      </c>
      <c r="B32" s="2" t="str">
        <f>IF(Footer[[#This Row],[Column8]]&lt;&gt;"","0","")</f>
        <v/>
      </c>
      <c r="C32" s="2" t="str">
        <f>IF(Footer[[#This Row],[Column8]]&lt;&gt;"","exercise_title","")</f>
        <v/>
      </c>
      <c r="D32" s="2" t="str">
        <f>IF(Footer[[#This Row],[Column8]]&lt;&gt;"","wkt_step_name","")</f>
        <v/>
      </c>
      <c r="E32" s="4" t="str" cm="1">
        <f t="array" ref="E32">IFERROR(INDEX(_xlfn.UNIQUE(_xlfn._xlws.FILTER(Data[Exercise],Data[Exercise]&lt;&gt;""),FALSE,FALSE),ROW(Footer[[#This Row],[Column5]])-ROW($E$14),1),"")</f>
        <v/>
      </c>
      <c r="F32" s="2" t="str">
        <f>IF(Footer[[#This Row],[Column5]]&lt;&gt;"","XXX","")</f>
        <v/>
      </c>
      <c r="G32" s="2" t="str">
        <f>IF(Footer[[#This Row],[Column8]]&lt;&gt;"","message_index","")</f>
        <v/>
      </c>
      <c r="H32" s="4" t="str">
        <f>IF(Footer[[#This Row],[Column5]]&lt;&gt;"",ROW(Footer[[#This Row],[Column5]])-ROW($E$15),"")</f>
        <v/>
      </c>
      <c r="I32" s="2" t="str">
        <f>IF(Footer[[#This Row],[Column8]]&lt;&gt;"","XXX","")</f>
        <v/>
      </c>
      <c r="J32" s="2" t="str">
        <f>IF(Footer[[#This Row],[Column8]]&lt;&gt;"","exercise_category","")</f>
        <v/>
      </c>
      <c r="K32" s="2"/>
      <c r="L32" s="2" t="str">
        <f>IF(Footer[[#This Row],[Column11]]&lt;&gt;"","XXX","")</f>
        <v/>
      </c>
      <c r="M32" s="2" t="str">
        <f>IF(AND(Footer[[#This Row],[Column8]]&lt;&gt;"",Footer[[#This Row],[Column14]]&lt;&gt;""),"exercise_name","")</f>
        <v/>
      </c>
      <c r="N32" s="4" t="str">
        <f>IF(Footer[[#This Row],[Column8]]&lt;&gt;"",IF(VLOOKUP(Footer[[#This Row],[Column5]],Table_Exercises[],3,FALSE)="/","XXX",VLOOKUP(Footer[[#This Row],[Column5]],Table_Exercises[],3,FALSE)),"")</f>
        <v/>
      </c>
      <c r="O32" s="2" t="str">
        <f>IF(Footer[[#This Row],[Column8]]&lt;&gt;"","XXX","")</f>
        <v/>
      </c>
      <c r="P32" s="2" t="str">
        <f>IF(Footer[[#This Row],[Column9]]&lt;&gt;"","XXX","")</f>
        <v/>
      </c>
      <c r="Q32" s="2" t="str">
        <f>IF(Footer[[#This Row],[Column10]]&lt;&gt;"","XXX","")</f>
        <v/>
      </c>
      <c r="R32" s="2" t="str">
        <f>IF(Footer[[#This Row],[Column11]]&lt;&gt;"","XXX","")</f>
        <v/>
      </c>
      <c r="S32" s="2" t="str">
        <f>IF(Footer[[#This Row],[Column12]]&lt;&gt;"","XXX","")</f>
        <v/>
      </c>
      <c r="T32" s="2" t="str">
        <f>IF(Footer[[#This Row],[Column13]]&lt;&gt;"","XXX","")</f>
        <v/>
      </c>
      <c r="U32" s="2" t="str">
        <f>IF(Footer[[#This Row],[Column14]]&lt;&gt;"","XXX","")</f>
        <v/>
      </c>
      <c r="V32" s="2" t="str">
        <f>IF(Footer[[#This Row],[Column15]]&lt;&gt;"","XXX","")</f>
        <v/>
      </c>
      <c r="W32" s="2" t="str">
        <f>IF(Footer[[#This Row],[Column16]]&lt;&gt;"","XXX","")</f>
        <v/>
      </c>
      <c r="X32" s="2" t="str">
        <f>IF(Footer[[#This Row],[Column17]]&lt;&gt;"","XXX","")</f>
        <v/>
      </c>
      <c r="Y32" s="2" t="str">
        <f>IF(Footer[[#This Row],[Column18]]&lt;&gt;"","XXX","")</f>
        <v/>
      </c>
      <c r="Z32" s="2" t="str">
        <f>IF(Footer[[#This Row],[Column19]]&lt;&gt;"","XXX","")</f>
        <v/>
      </c>
      <c r="AA32" s="2" t="str">
        <f>IF(Footer[[#This Row],[Column20]]&lt;&gt;"","XXX","")</f>
        <v/>
      </c>
      <c r="AB32" s="2" t="str">
        <f>IF(Footer[[#This Row],[Column21]]&lt;&gt;"","XXX","")</f>
        <v/>
      </c>
      <c r="AC32" s="2" t="str">
        <f>IF(Footer[[#This Row],[Column22]]&lt;&gt;"","XXX","")</f>
        <v/>
      </c>
      <c r="AD32" s="2" t="str">
        <f>IF(Footer[[#This Row],[Column23]]&lt;&gt;"","XXX","")</f>
        <v/>
      </c>
      <c r="AE32" s="2" t="str">
        <f>IF(Footer[[#This Row],[Column24]]&lt;&gt;"","XXX","")</f>
        <v/>
      </c>
      <c r="AF32" s="2" t="str">
        <f>IF(Footer[[#This Row],[Column25]]&lt;&gt;"","XXX","")</f>
        <v/>
      </c>
      <c r="AG32" s="2" t="str">
        <f>IF(Footer[[#This Row],[Column26]]&lt;&gt;"","XXX","")</f>
        <v/>
      </c>
      <c r="AH32" s="2" t="str">
        <f>IF(Footer[[#This Row],[Column27]]&lt;&gt;"","XXX","")</f>
        <v/>
      </c>
      <c r="AI32" s="2" t="str">
        <f>IF(Footer[[#This Row],[Column28]]&lt;&gt;"","XXX","")</f>
        <v/>
      </c>
      <c r="AJ32" s="2" t="str">
        <f>IF(Footer[[#This Row],[Column29]]&lt;&gt;"","XXX","")</f>
        <v/>
      </c>
      <c r="AK32" s="2" t="str">
        <f>IF(Footer[[#This Row],[Column30]]&lt;&gt;"","XXX","")</f>
        <v/>
      </c>
      <c r="AL32" s="2" t="str">
        <f>IF(Footer[[#This Row],[Column31]]&lt;&gt;"","XXX","")</f>
        <v/>
      </c>
      <c r="AM32" s="2" t="str">
        <f>IF(Footer[[#This Row],[Column32]]&lt;&gt;"","XXX","")</f>
        <v/>
      </c>
      <c r="AN32" s="2" t="str">
        <f>IF(Footer[[#This Row],[Column33]]&lt;&gt;"","XXX","")</f>
        <v/>
      </c>
      <c r="AO32" s="2" t="str">
        <f>IF(Footer[[#This Row],[Column34]]&lt;&gt;"","XXX","")</f>
        <v/>
      </c>
      <c r="AP32" s="2" t="str">
        <f>IF(Footer[[#This Row],[Column35]]&lt;&gt;"","XXX","")</f>
        <v/>
      </c>
      <c r="AQ32" s="2" t="str">
        <f>IF(Footer[[#This Row],[Column36]]&lt;&gt;"","XXX","")</f>
        <v/>
      </c>
      <c r="AR32" s="2" t="str">
        <f>IF(Footer[[#This Row],[Column37]]&lt;&gt;"","XXX","")</f>
        <v/>
      </c>
      <c r="AS32" s="2" t="str">
        <f>IF(Footer[[#This Row],[Column38]]&lt;&gt;"","XXX","")</f>
        <v/>
      </c>
      <c r="AT32" s="2" t="str">
        <f>IF(Footer[[#This Row],[Column39]]&lt;&gt;"","XXX","")</f>
        <v/>
      </c>
      <c r="AU32" s="2" t="str">
        <f>IF(Footer[[#This Row],[Column40]]&lt;&gt;"","XXX","")</f>
        <v/>
      </c>
      <c r="AV32" s="2" t="str">
        <f>IF(Footer[[#This Row],[Column41]]&lt;&gt;"","XXX","")</f>
        <v/>
      </c>
      <c r="AW32" s="6" t="str">
        <f>IF(Footer[[#This Row],[Column42]]&lt;&gt;"","XXX","")</f>
        <v/>
      </c>
      <c r="AX32" s="2" t="str">
        <f>IF(Footer[[#This Row],[Column43]]&lt;&gt;"","XXX","")</f>
        <v/>
      </c>
      <c r="AY32" s="2" t="str">
        <f>IF(Footer[[#This Row],[Column44]]&lt;&gt;"","XXX","")</f>
        <v/>
      </c>
      <c r="AZ32" s="2" t="str">
        <f>IF(Footer[[#This Row],[Column45]]&lt;&gt;"","XXX","")</f>
        <v/>
      </c>
      <c r="BA32" s="2" t="str">
        <f>IF(Footer[[#This Row],[Column46]]&lt;&gt;"","XXX","")</f>
        <v/>
      </c>
      <c r="BB32" s="2" t="str">
        <f>IF(Footer[[#This Row],[Column47]]&lt;&gt;"","XXX","")</f>
        <v/>
      </c>
      <c r="BC32" s="2" t="str">
        <f>IF(Footer[[#This Row],[Column48]]&lt;&gt;"","XXX","")</f>
        <v/>
      </c>
      <c r="BD32" s="2" t="str">
        <f>IF(Footer[[#This Row],[Column49]]&lt;&gt;"","XXX","")</f>
        <v/>
      </c>
      <c r="BE32" s="2" t="str">
        <f>IF(Footer[[#This Row],[Column50]]&lt;&gt;"","XXX","")</f>
        <v/>
      </c>
      <c r="BF32" s="2" t="str">
        <f>IF(Footer[[#This Row],[Column51]]&lt;&gt;"","XXX","")</f>
        <v/>
      </c>
      <c r="BG32" s="2" t="str">
        <f>IF(Footer[[#This Row],[Column52]]&lt;&gt;"","XXX","")</f>
        <v/>
      </c>
      <c r="BH32" s="2" t="str">
        <f>IF(Footer[[#This Row],[Column53]]&lt;&gt;"","XXX","")</f>
        <v/>
      </c>
      <c r="BI32" s="2" t="str">
        <f>IF(Footer[[#This Row],[Column54]]&lt;&gt;"","XXX","")</f>
        <v/>
      </c>
      <c r="BJ32" s="6" t="str">
        <f>IF(Footer[[#This Row],[Column1]]&lt;&gt;"",SUBSTITUTE(_xlfn.TEXTJOIN(",",TRUE,Footer[[#This Row],[Column1]:[Column61]]),"XXX",""),"")</f>
        <v/>
      </c>
    </row>
    <row r="33" spans="1:62" x14ac:dyDescent="0.25">
      <c r="A33" s="2" t="str">
        <f>IF(Footer[[#This Row],[Column8]]&lt;&gt;"","Data","")</f>
        <v/>
      </c>
      <c r="B33" s="2" t="str">
        <f>IF(Footer[[#This Row],[Column8]]&lt;&gt;"","0","")</f>
        <v/>
      </c>
      <c r="C33" s="2" t="str">
        <f>IF(Footer[[#This Row],[Column8]]&lt;&gt;"","exercise_title","")</f>
        <v/>
      </c>
      <c r="D33" s="2" t="str">
        <f>IF(Footer[[#This Row],[Column8]]&lt;&gt;"","wkt_step_name","")</f>
        <v/>
      </c>
      <c r="E33" s="4" t="str" cm="1">
        <f t="array" ref="E33">IFERROR(INDEX(_xlfn.UNIQUE(_xlfn._xlws.FILTER(Data[Exercise],Data[Exercise]&lt;&gt;""),FALSE,FALSE),ROW(Footer[[#This Row],[Column5]])-ROW($E$14),1),"")</f>
        <v/>
      </c>
      <c r="F33" s="2" t="str">
        <f>IF(Footer[[#This Row],[Column5]]&lt;&gt;"","XXX","")</f>
        <v/>
      </c>
      <c r="G33" s="2" t="str">
        <f>IF(Footer[[#This Row],[Column8]]&lt;&gt;"","message_index","")</f>
        <v/>
      </c>
      <c r="H33" s="4" t="str">
        <f>IF(Footer[[#This Row],[Column5]]&lt;&gt;"",ROW(Footer[[#This Row],[Column5]])-ROW($E$15),"")</f>
        <v/>
      </c>
      <c r="I33" s="2" t="str">
        <f>IF(Footer[[#This Row],[Column8]]&lt;&gt;"","XXX","")</f>
        <v/>
      </c>
      <c r="J33" s="2" t="str">
        <f>IF(Footer[[#This Row],[Column8]]&lt;&gt;"","exercise_category","")</f>
        <v/>
      </c>
      <c r="K33" s="2"/>
      <c r="L33" s="2" t="str">
        <f>IF(Footer[[#This Row],[Column11]]&lt;&gt;"","XXX","")</f>
        <v/>
      </c>
      <c r="M33" s="2" t="str">
        <f>IF(AND(Footer[[#This Row],[Column8]]&lt;&gt;"",Footer[[#This Row],[Column14]]&lt;&gt;""),"exercise_name","")</f>
        <v/>
      </c>
      <c r="N33" s="4" t="str">
        <f>IF(Footer[[#This Row],[Column8]]&lt;&gt;"",IF(VLOOKUP(Footer[[#This Row],[Column5]],Table_Exercises[],3,FALSE)="/","XXX",VLOOKUP(Footer[[#This Row],[Column5]],Table_Exercises[],3,FALSE)),"")</f>
        <v/>
      </c>
      <c r="O33" s="2" t="str">
        <f>IF(Footer[[#This Row],[Column8]]&lt;&gt;"","XXX","")</f>
        <v/>
      </c>
      <c r="P33" s="2" t="str">
        <f>IF(Footer[[#This Row],[Column9]]&lt;&gt;"","XXX","")</f>
        <v/>
      </c>
      <c r="Q33" s="2" t="str">
        <f>IF(Footer[[#This Row],[Column10]]&lt;&gt;"","XXX","")</f>
        <v/>
      </c>
      <c r="R33" s="2" t="str">
        <f>IF(Footer[[#This Row],[Column11]]&lt;&gt;"","XXX","")</f>
        <v/>
      </c>
      <c r="S33" s="2" t="str">
        <f>IF(Footer[[#This Row],[Column12]]&lt;&gt;"","XXX","")</f>
        <v/>
      </c>
      <c r="T33" s="2" t="str">
        <f>IF(Footer[[#This Row],[Column13]]&lt;&gt;"","XXX","")</f>
        <v/>
      </c>
      <c r="U33" s="2" t="str">
        <f>IF(Footer[[#This Row],[Column14]]&lt;&gt;"","XXX","")</f>
        <v/>
      </c>
      <c r="V33" s="2" t="str">
        <f>IF(Footer[[#This Row],[Column15]]&lt;&gt;"","XXX","")</f>
        <v/>
      </c>
      <c r="W33" s="2" t="str">
        <f>IF(Footer[[#This Row],[Column16]]&lt;&gt;"","XXX","")</f>
        <v/>
      </c>
      <c r="X33" s="2" t="str">
        <f>IF(Footer[[#This Row],[Column17]]&lt;&gt;"","XXX","")</f>
        <v/>
      </c>
      <c r="Y33" s="2" t="str">
        <f>IF(Footer[[#This Row],[Column18]]&lt;&gt;"","XXX","")</f>
        <v/>
      </c>
      <c r="Z33" s="2" t="str">
        <f>IF(Footer[[#This Row],[Column19]]&lt;&gt;"","XXX","")</f>
        <v/>
      </c>
      <c r="AA33" s="2" t="str">
        <f>IF(Footer[[#This Row],[Column20]]&lt;&gt;"","XXX","")</f>
        <v/>
      </c>
      <c r="AB33" s="2" t="str">
        <f>IF(Footer[[#This Row],[Column21]]&lt;&gt;"","XXX","")</f>
        <v/>
      </c>
      <c r="AC33" s="2" t="str">
        <f>IF(Footer[[#This Row],[Column22]]&lt;&gt;"","XXX","")</f>
        <v/>
      </c>
      <c r="AD33" s="2" t="str">
        <f>IF(Footer[[#This Row],[Column23]]&lt;&gt;"","XXX","")</f>
        <v/>
      </c>
      <c r="AE33" s="2" t="str">
        <f>IF(Footer[[#This Row],[Column24]]&lt;&gt;"","XXX","")</f>
        <v/>
      </c>
      <c r="AF33" s="2" t="str">
        <f>IF(Footer[[#This Row],[Column25]]&lt;&gt;"","XXX","")</f>
        <v/>
      </c>
      <c r="AG33" s="2" t="str">
        <f>IF(Footer[[#This Row],[Column26]]&lt;&gt;"","XXX","")</f>
        <v/>
      </c>
      <c r="AH33" s="2" t="str">
        <f>IF(Footer[[#This Row],[Column27]]&lt;&gt;"","XXX","")</f>
        <v/>
      </c>
      <c r="AI33" s="2" t="str">
        <f>IF(Footer[[#This Row],[Column28]]&lt;&gt;"","XXX","")</f>
        <v/>
      </c>
      <c r="AJ33" s="2" t="str">
        <f>IF(Footer[[#This Row],[Column29]]&lt;&gt;"","XXX","")</f>
        <v/>
      </c>
      <c r="AK33" s="2" t="str">
        <f>IF(Footer[[#This Row],[Column30]]&lt;&gt;"","XXX","")</f>
        <v/>
      </c>
      <c r="AL33" s="2" t="str">
        <f>IF(Footer[[#This Row],[Column31]]&lt;&gt;"","XXX","")</f>
        <v/>
      </c>
      <c r="AM33" s="2" t="str">
        <f>IF(Footer[[#This Row],[Column32]]&lt;&gt;"","XXX","")</f>
        <v/>
      </c>
      <c r="AN33" s="2" t="str">
        <f>IF(Footer[[#This Row],[Column33]]&lt;&gt;"","XXX","")</f>
        <v/>
      </c>
      <c r="AO33" s="2" t="str">
        <f>IF(Footer[[#This Row],[Column34]]&lt;&gt;"","XXX","")</f>
        <v/>
      </c>
      <c r="AP33" s="2" t="str">
        <f>IF(Footer[[#This Row],[Column35]]&lt;&gt;"","XXX","")</f>
        <v/>
      </c>
      <c r="AQ33" s="2" t="str">
        <f>IF(Footer[[#This Row],[Column36]]&lt;&gt;"","XXX","")</f>
        <v/>
      </c>
      <c r="AR33" s="2" t="str">
        <f>IF(Footer[[#This Row],[Column37]]&lt;&gt;"","XXX","")</f>
        <v/>
      </c>
      <c r="AS33" s="2" t="str">
        <f>IF(Footer[[#This Row],[Column38]]&lt;&gt;"","XXX","")</f>
        <v/>
      </c>
      <c r="AT33" s="2" t="str">
        <f>IF(Footer[[#This Row],[Column39]]&lt;&gt;"","XXX","")</f>
        <v/>
      </c>
      <c r="AU33" s="2" t="str">
        <f>IF(Footer[[#This Row],[Column40]]&lt;&gt;"","XXX","")</f>
        <v/>
      </c>
      <c r="AV33" s="2" t="str">
        <f>IF(Footer[[#This Row],[Column41]]&lt;&gt;"","XXX","")</f>
        <v/>
      </c>
      <c r="AW33" s="6" t="str">
        <f>IF(Footer[[#This Row],[Column42]]&lt;&gt;"","XXX","")</f>
        <v/>
      </c>
      <c r="AX33" s="2" t="str">
        <f>IF(Footer[[#This Row],[Column43]]&lt;&gt;"","XXX","")</f>
        <v/>
      </c>
      <c r="AY33" s="2" t="str">
        <f>IF(Footer[[#This Row],[Column44]]&lt;&gt;"","XXX","")</f>
        <v/>
      </c>
      <c r="AZ33" s="2" t="str">
        <f>IF(Footer[[#This Row],[Column45]]&lt;&gt;"","XXX","")</f>
        <v/>
      </c>
      <c r="BA33" s="2" t="str">
        <f>IF(Footer[[#This Row],[Column46]]&lt;&gt;"","XXX","")</f>
        <v/>
      </c>
      <c r="BB33" s="2" t="str">
        <f>IF(Footer[[#This Row],[Column47]]&lt;&gt;"","XXX","")</f>
        <v/>
      </c>
      <c r="BC33" s="2" t="str">
        <f>IF(Footer[[#This Row],[Column48]]&lt;&gt;"","XXX","")</f>
        <v/>
      </c>
      <c r="BD33" s="2" t="str">
        <f>IF(Footer[[#This Row],[Column49]]&lt;&gt;"","XXX","")</f>
        <v/>
      </c>
      <c r="BE33" s="2" t="str">
        <f>IF(Footer[[#This Row],[Column50]]&lt;&gt;"","XXX","")</f>
        <v/>
      </c>
      <c r="BF33" s="2" t="str">
        <f>IF(Footer[[#This Row],[Column51]]&lt;&gt;"","XXX","")</f>
        <v/>
      </c>
      <c r="BG33" s="2" t="str">
        <f>IF(Footer[[#This Row],[Column52]]&lt;&gt;"","XXX","")</f>
        <v/>
      </c>
      <c r="BH33" s="2" t="str">
        <f>IF(Footer[[#This Row],[Column53]]&lt;&gt;"","XXX","")</f>
        <v/>
      </c>
      <c r="BI33" s="2" t="str">
        <f>IF(Footer[[#This Row],[Column54]]&lt;&gt;"","XXX","")</f>
        <v/>
      </c>
      <c r="BJ33" s="6" t="str">
        <f>IF(Footer[[#This Row],[Column1]]&lt;&gt;"",SUBSTITUTE(_xlfn.TEXTJOIN(",",TRUE,Footer[[#This Row],[Column1]:[Column61]]),"XXX",""),"")</f>
        <v/>
      </c>
    </row>
    <row r="34" spans="1:62" x14ac:dyDescent="0.25">
      <c r="A34" s="2" t="str">
        <f>IF(Footer[[#This Row],[Column8]]&lt;&gt;"","Data","")</f>
        <v/>
      </c>
      <c r="B34" s="2" t="str">
        <f>IF(Footer[[#This Row],[Column8]]&lt;&gt;"","0","")</f>
        <v/>
      </c>
      <c r="C34" s="2" t="str">
        <f>IF(Footer[[#This Row],[Column8]]&lt;&gt;"","exercise_title","")</f>
        <v/>
      </c>
      <c r="D34" s="2" t="str">
        <f>IF(Footer[[#This Row],[Column8]]&lt;&gt;"","wkt_step_name","")</f>
        <v/>
      </c>
      <c r="E34" s="4" t="str" cm="1">
        <f t="array" ref="E34">IFERROR(INDEX(_xlfn.UNIQUE(_xlfn._xlws.FILTER(Data[Exercise],Data[Exercise]&lt;&gt;""),FALSE,FALSE),ROW(Footer[[#This Row],[Column5]])-ROW($E$14),1),"")</f>
        <v/>
      </c>
      <c r="F34" s="2" t="str">
        <f>IF(Footer[[#This Row],[Column5]]&lt;&gt;"","XXX","")</f>
        <v/>
      </c>
      <c r="G34" s="2" t="str">
        <f>IF(Footer[[#This Row],[Column8]]&lt;&gt;"","message_index","")</f>
        <v/>
      </c>
      <c r="H34" s="4" t="str">
        <f>IF(Footer[[#This Row],[Column5]]&lt;&gt;"",ROW(Footer[[#This Row],[Column5]])-ROW($E$15),"")</f>
        <v/>
      </c>
      <c r="I34" s="2" t="str">
        <f>IF(Footer[[#This Row],[Column8]]&lt;&gt;"","XXX","")</f>
        <v/>
      </c>
      <c r="J34" s="2" t="str">
        <f>IF(Footer[[#This Row],[Column8]]&lt;&gt;"","exercise_category","")</f>
        <v/>
      </c>
      <c r="K34" s="2"/>
      <c r="L34" s="2" t="str">
        <f>IF(Footer[[#This Row],[Column11]]&lt;&gt;"","XXX","")</f>
        <v/>
      </c>
      <c r="M34" s="2" t="str">
        <f>IF(AND(Footer[[#This Row],[Column8]]&lt;&gt;"",Footer[[#This Row],[Column14]]&lt;&gt;""),"exercise_name","")</f>
        <v/>
      </c>
      <c r="N34" s="4" t="str">
        <f>IF(Footer[[#This Row],[Column8]]&lt;&gt;"",IF(VLOOKUP(Footer[[#This Row],[Column5]],Table_Exercises[],3,FALSE)="/","XXX",VLOOKUP(Footer[[#This Row],[Column5]],Table_Exercises[],3,FALSE)),"")</f>
        <v/>
      </c>
      <c r="O34" s="2" t="str">
        <f>IF(Footer[[#This Row],[Column8]]&lt;&gt;"","XXX","")</f>
        <v/>
      </c>
      <c r="P34" s="2" t="str">
        <f>IF(Footer[[#This Row],[Column9]]&lt;&gt;"","XXX","")</f>
        <v/>
      </c>
      <c r="Q34" s="2" t="str">
        <f>IF(Footer[[#This Row],[Column10]]&lt;&gt;"","XXX","")</f>
        <v/>
      </c>
      <c r="R34" s="2" t="str">
        <f>IF(Footer[[#This Row],[Column11]]&lt;&gt;"","XXX","")</f>
        <v/>
      </c>
      <c r="S34" s="2" t="str">
        <f>IF(Footer[[#This Row],[Column12]]&lt;&gt;"","XXX","")</f>
        <v/>
      </c>
      <c r="T34" s="2" t="str">
        <f>IF(Footer[[#This Row],[Column13]]&lt;&gt;"","XXX","")</f>
        <v/>
      </c>
      <c r="U34" s="2" t="str">
        <f>IF(Footer[[#This Row],[Column14]]&lt;&gt;"","XXX","")</f>
        <v/>
      </c>
      <c r="V34" s="2" t="str">
        <f>IF(Footer[[#This Row],[Column15]]&lt;&gt;"","XXX","")</f>
        <v/>
      </c>
      <c r="W34" s="2" t="str">
        <f>IF(Footer[[#This Row],[Column16]]&lt;&gt;"","XXX","")</f>
        <v/>
      </c>
      <c r="X34" s="2" t="str">
        <f>IF(Footer[[#This Row],[Column17]]&lt;&gt;"","XXX","")</f>
        <v/>
      </c>
      <c r="Y34" s="2" t="str">
        <f>IF(Footer[[#This Row],[Column18]]&lt;&gt;"","XXX","")</f>
        <v/>
      </c>
      <c r="Z34" s="2" t="str">
        <f>IF(Footer[[#This Row],[Column19]]&lt;&gt;"","XXX","")</f>
        <v/>
      </c>
      <c r="AA34" s="2" t="str">
        <f>IF(Footer[[#This Row],[Column20]]&lt;&gt;"","XXX","")</f>
        <v/>
      </c>
      <c r="AB34" s="2" t="str">
        <f>IF(Footer[[#This Row],[Column21]]&lt;&gt;"","XXX","")</f>
        <v/>
      </c>
      <c r="AC34" s="2" t="str">
        <f>IF(Footer[[#This Row],[Column22]]&lt;&gt;"","XXX","")</f>
        <v/>
      </c>
      <c r="AD34" s="2" t="str">
        <f>IF(Footer[[#This Row],[Column23]]&lt;&gt;"","XXX","")</f>
        <v/>
      </c>
      <c r="AE34" s="2" t="str">
        <f>IF(Footer[[#This Row],[Column24]]&lt;&gt;"","XXX","")</f>
        <v/>
      </c>
      <c r="AF34" s="2" t="str">
        <f>IF(Footer[[#This Row],[Column25]]&lt;&gt;"","XXX","")</f>
        <v/>
      </c>
      <c r="AG34" s="2" t="str">
        <f>IF(Footer[[#This Row],[Column26]]&lt;&gt;"","XXX","")</f>
        <v/>
      </c>
      <c r="AH34" s="2" t="str">
        <f>IF(Footer[[#This Row],[Column27]]&lt;&gt;"","XXX","")</f>
        <v/>
      </c>
      <c r="AI34" s="2" t="str">
        <f>IF(Footer[[#This Row],[Column28]]&lt;&gt;"","XXX","")</f>
        <v/>
      </c>
      <c r="AJ34" s="2" t="str">
        <f>IF(Footer[[#This Row],[Column29]]&lt;&gt;"","XXX","")</f>
        <v/>
      </c>
      <c r="AK34" s="2" t="str">
        <f>IF(Footer[[#This Row],[Column30]]&lt;&gt;"","XXX","")</f>
        <v/>
      </c>
      <c r="AL34" s="2" t="str">
        <f>IF(Footer[[#This Row],[Column31]]&lt;&gt;"","XXX","")</f>
        <v/>
      </c>
      <c r="AM34" s="2" t="str">
        <f>IF(Footer[[#This Row],[Column32]]&lt;&gt;"","XXX","")</f>
        <v/>
      </c>
      <c r="AN34" s="2" t="str">
        <f>IF(Footer[[#This Row],[Column33]]&lt;&gt;"","XXX","")</f>
        <v/>
      </c>
      <c r="AO34" s="2" t="str">
        <f>IF(Footer[[#This Row],[Column34]]&lt;&gt;"","XXX","")</f>
        <v/>
      </c>
      <c r="AP34" s="2" t="str">
        <f>IF(Footer[[#This Row],[Column35]]&lt;&gt;"","XXX","")</f>
        <v/>
      </c>
      <c r="AQ34" s="2" t="str">
        <f>IF(Footer[[#This Row],[Column36]]&lt;&gt;"","XXX","")</f>
        <v/>
      </c>
      <c r="AR34" s="2" t="str">
        <f>IF(Footer[[#This Row],[Column37]]&lt;&gt;"","XXX","")</f>
        <v/>
      </c>
      <c r="AS34" s="2" t="str">
        <f>IF(Footer[[#This Row],[Column38]]&lt;&gt;"","XXX","")</f>
        <v/>
      </c>
      <c r="AT34" s="2" t="str">
        <f>IF(Footer[[#This Row],[Column39]]&lt;&gt;"","XXX","")</f>
        <v/>
      </c>
      <c r="AU34" s="2" t="str">
        <f>IF(Footer[[#This Row],[Column40]]&lt;&gt;"","XXX","")</f>
        <v/>
      </c>
      <c r="AV34" s="2" t="str">
        <f>IF(Footer[[#This Row],[Column41]]&lt;&gt;"","XXX","")</f>
        <v/>
      </c>
      <c r="AW34" s="6" t="str">
        <f>IF(Footer[[#This Row],[Column42]]&lt;&gt;"","XXX","")</f>
        <v/>
      </c>
      <c r="AX34" s="2" t="str">
        <f>IF(Footer[[#This Row],[Column43]]&lt;&gt;"","XXX","")</f>
        <v/>
      </c>
      <c r="AY34" s="2" t="str">
        <f>IF(Footer[[#This Row],[Column44]]&lt;&gt;"","XXX","")</f>
        <v/>
      </c>
      <c r="AZ34" s="2" t="str">
        <f>IF(Footer[[#This Row],[Column45]]&lt;&gt;"","XXX","")</f>
        <v/>
      </c>
      <c r="BA34" s="2" t="str">
        <f>IF(Footer[[#This Row],[Column46]]&lt;&gt;"","XXX","")</f>
        <v/>
      </c>
      <c r="BB34" s="2" t="str">
        <f>IF(Footer[[#This Row],[Column47]]&lt;&gt;"","XXX","")</f>
        <v/>
      </c>
      <c r="BC34" s="2" t="str">
        <f>IF(Footer[[#This Row],[Column48]]&lt;&gt;"","XXX","")</f>
        <v/>
      </c>
      <c r="BD34" s="2" t="str">
        <f>IF(Footer[[#This Row],[Column49]]&lt;&gt;"","XXX","")</f>
        <v/>
      </c>
      <c r="BE34" s="2" t="str">
        <f>IF(Footer[[#This Row],[Column50]]&lt;&gt;"","XXX","")</f>
        <v/>
      </c>
      <c r="BF34" s="2" t="str">
        <f>IF(Footer[[#This Row],[Column51]]&lt;&gt;"","XXX","")</f>
        <v/>
      </c>
      <c r="BG34" s="2" t="str">
        <f>IF(Footer[[#This Row],[Column52]]&lt;&gt;"","XXX","")</f>
        <v/>
      </c>
      <c r="BH34" s="2" t="str">
        <f>IF(Footer[[#This Row],[Column53]]&lt;&gt;"","XXX","")</f>
        <v/>
      </c>
      <c r="BI34" s="2" t="str">
        <f>IF(Footer[[#This Row],[Column54]]&lt;&gt;"","XXX","")</f>
        <v/>
      </c>
      <c r="BJ34" s="6" t="str">
        <f>IF(Footer[[#This Row],[Column1]]&lt;&gt;"",SUBSTITUTE(_xlfn.TEXTJOIN(",",TRUE,Footer[[#This Row],[Column1]:[Column61]]),"XXX",""),"")</f>
        <v/>
      </c>
    </row>
    <row r="35" spans="1:62" x14ac:dyDescent="0.25">
      <c r="A35" s="2" t="str">
        <f>IF(Footer[[#This Row],[Column8]]&lt;&gt;"","Data","")</f>
        <v/>
      </c>
      <c r="B35" s="2" t="str">
        <f>IF(Footer[[#This Row],[Column8]]&lt;&gt;"","0","")</f>
        <v/>
      </c>
      <c r="C35" s="2" t="str">
        <f>IF(Footer[[#This Row],[Column8]]&lt;&gt;"","exercise_title","")</f>
        <v/>
      </c>
      <c r="D35" s="2" t="str">
        <f>IF(Footer[[#This Row],[Column8]]&lt;&gt;"","wkt_step_name","")</f>
        <v/>
      </c>
      <c r="E35" s="4" t="str" cm="1">
        <f t="array" ref="E35">IFERROR(INDEX(_xlfn.UNIQUE(_xlfn._xlws.FILTER(Data[Exercise],Data[Exercise]&lt;&gt;""),FALSE,FALSE),ROW(Footer[[#This Row],[Column5]])-ROW($E$14),1),"")</f>
        <v/>
      </c>
      <c r="F35" s="2" t="str">
        <f>IF(Footer[[#This Row],[Column5]]&lt;&gt;"","XXX","")</f>
        <v/>
      </c>
      <c r="G35" s="2" t="str">
        <f>IF(Footer[[#This Row],[Column8]]&lt;&gt;"","message_index","")</f>
        <v/>
      </c>
      <c r="H35" s="4" t="str">
        <f>IF(Footer[[#This Row],[Column5]]&lt;&gt;"",ROW(Footer[[#This Row],[Column5]])-ROW($E$15),"")</f>
        <v/>
      </c>
      <c r="I35" s="2" t="str">
        <f>IF(Footer[[#This Row],[Column8]]&lt;&gt;"","XXX","")</f>
        <v/>
      </c>
      <c r="J35" s="2" t="str">
        <f>IF(Footer[[#This Row],[Column8]]&lt;&gt;"","exercise_category","")</f>
        <v/>
      </c>
      <c r="K35" s="2"/>
      <c r="L35" s="2" t="str">
        <f>IF(Footer[[#This Row],[Column11]]&lt;&gt;"","XXX","")</f>
        <v/>
      </c>
      <c r="M35" s="2" t="str">
        <f>IF(AND(Footer[[#This Row],[Column8]]&lt;&gt;"",Footer[[#This Row],[Column14]]&lt;&gt;""),"exercise_name","")</f>
        <v/>
      </c>
      <c r="N35" s="4" t="str">
        <f>IF(Footer[[#This Row],[Column8]]&lt;&gt;"",IF(VLOOKUP(Footer[[#This Row],[Column5]],Table_Exercises[],3,FALSE)="/","XXX",VLOOKUP(Footer[[#This Row],[Column5]],Table_Exercises[],3,FALSE)),"")</f>
        <v/>
      </c>
      <c r="O35" s="2" t="str">
        <f>IF(Footer[[#This Row],[Column8]]&lt;&gt;"","XXX","")</f>
        <v/>
      </c>
      <c r="P35" s="2" t="str">
        <f>IF(Footer[[#This Row],[Column9]]&lt;&gt;"","XXX","")</f>
        <v/>
      </c>
      <c r="Q35" s="2" t="str">
        <f>IF(Footer[[#This Row],[Column10]]&lt;&gt;"","XXX","")</f>
        <v/>
      </c>
      <c r="R35" s="2" t="str">
        <f>IF(Footer[[#This Row],[Column11]]&lt;&gt;"","XXX","")</f>
        <v/>
      </c>
      <c r="S35" s="2" t="str">
        <f>IF(Footer[[#This Row],[Column12]]&lt;&gt;"","XXX","")</f>
        <v/>
      </c>
      <c r="T35" s="2" t="str">
        <f>IF(Footer[[#This Row],[Column13]]&lt;&gt;"","XXX","")</f>
        <v/>
      </c>
      <c r="U35" s="2" t="str">
        <f>IF(Footer[[#This Row],[Column14]]&lt;&gt;"","XXX","")</f>
        <v/>
      </c>
      <c r="V35" s="2" t="str">
        <f>IF(Footer[[#This Row],[Column15]]&lt;&gt;"","XXX","")</f>
        <v/>
      </c>
      <c r="W35" s="2" t="str">
        <f>IF(Footer[[#This Row],[Column16]]&lt;&gt;"","XXX","")</f>
        <v/>
      </c>
      <c r="X35" s="2" t="str">
        <f>IF(Footer[[#This Row],[Column17]]&lt;&gt;"","XXX","")</f>
        <v/>
      </c>
      <c r="Y35" s="2" t="str">
        <f>IF(Footer[[#This Row],[Column18]]&lt;&gt;"","XXX","")</f>
        <v/>
      </c>
      <c r="Z35" s="2" t="str">
        <f>IF(Footer[[#This Row],[Column19]]&lt;&gt;"","XXX","")</f>
        <v/>
      </c>
      <c r="AA35" s="2" t="str">
        <f>IF(Footer[[#This Row],[Column20]]&lt;&gt;"","XXX","")</f>
        <v/>
      </c>
      <c r="AB35" s="2" t="str">
        <f>IF(Footer[[#This Row],[Column21]]&lt;&gt;"","XXX","")</f>
        <v/>
      </c>
      <c r="AC35" s="2" t="str">
        <f>IF(Footer[[#This Row],[Column22]]&lt;&gt;"","XXX","")</f>
        <v/>
      </c>
      <c r="AD35" s="2" t="str">
        <f>IF(Footer[[#This Row],[Column23]]&lt;&gt;"","XXX","")</f>
        <v/>
      </c>
      <c r="AE35" s="2" t="str">
        <f>IF(Footer[[#This Row],[Column24]]&lt;&gt;"","XXX","")</f>
        <v/>
      </c>
      <c r="AF35" s="2" t="str">
        <f>IF(Footer[[#This Row],[Column25]]&lt;&gt;"","XXX","")</f>
        <v/>
      </c>
      <c r="AG35" s="2" t="str">
        <f>IF(Footer[[#This Row],[Column26]]&lt;&gt;"","XXX","")</f>
        <v/>
      </c>
      <c r="AH35" s="2" t="str">
        <f>IF(Footer[[#This Row],[Column27]]&lt;&gt;"","XXX","")</f>
        <v/>
      </c>
      <c r="AI35" s="2" t="str">
        <f>IF(Footer[[#This Row],[Column28]]&lt;&gt;"","XXX","")</f>
        <v/>
      </c>
      <c r="AJ35" s="2" t="str">
        <f>IF(Footer[[#This Row],[Column29]]&lt;&gt;"","XXX","")</f>
        <v/>
      </c>
      <c r="AK35" s="2" t="str">
        <f>IF(Footer[[#This Row],[Column30]]&lt;&gt;"","XXX","")</f>
        <v/>
      </c>
      <c r="AL35" s="2" t="str">
        <f>IF(Footer[[#This Row],[Column31]]&lt;&gt;"","XXX","")</f>
        <v/>
      </c>
      <c r="AM35" s="2" t="str">
        <f>IF(Footer[[#This Row],[Column32]]&lt;&gt;"","XXX","")</f>
        <v/>
      </c>
      <c r="AN35" s="2" t="str">
        <f>IF(Footer[[#This Row],[Column33]]&lt;&gt;"","XXX","")</f>
        <v/>
      </c>
      <c r="AO35" s="2" t="str">
        <f>IF(Footer[[#This Row],[Column34]]&lt;&gt;"","XXX","")</f>
        <v/>
      </c>
      <c r="AP35" s="2" t="str">
        <f>IF(Footer[[#This Row],[Column35]]&lt;&gt;"","XXX","")</f>
        <v/>
      </c>
      <c r="AQ35" s="2" t="str">
        <f>IF(Footer[[#This Row],[Column36]]&lt;&gt;"","XXX","")</f>
        <v/>
      </c>
      <c r="AR35" s="2" t="str">
        <f>IF(Footer[[#This Row],[Column37]]&lt;&gt;"","XXX","")</f>
        <v/>
      </c>
      <c r="AS35" s="2" t="str">
        <f>IF(Footer[[#This Row],[Column38]]&lt;&gt;"","XXX","")</f>
        <v/>
      </c>
      <c r="AT35" s="2" t="str">
        <f>IF(Footer[[#This Row],[Column39]]&lt;&gt;"","XXX","")</f>
        <v/>
      </c>
      <c r="AU35" s="2" t="str">
        <f>IF(Footer[[#This Row],[Column40]]&lt;&gt;"","XXX","")</f>
        <v/>
      </c>
      <c r="AV35" s="2" t="str">
        <f>IF(Footer[[#This Row],[Column41]]&lt;&gt;"","XXX","")</f>
        <v/>
      </c>
      <c r="AW35" s="6" t="str">
        <f>IF(Footer[[#This Row],[Column42]]&lt;&gt;"","XXX","")</f>
        <v/>
      </c>
      <c r="AX35" s="2" t="str">
        <f>IF(Footer[[#This Row],[Column43]]&lt;&gt;"","XXX","")</f>
        <v/>
      </c>
      <c r="AY35" s="2" t="str">
        <f>IF(Footer[[#This Row],[Column44]]&lt;&gt;"","XXX","")</f>
        <v/>
      </c>
      <c r="AZ35" s="2" t="str">
        <f>IF(Footer[[#This Row],[Column45]]&lt;&gt;"","XXX","")</f>
        <v/>
      </c>
      <c r="BA35" s="2" t="str">
        <f>IF(Footer[[#This Row],[Column46]]&lt;&gt;"","XXX","")</f>
        <v/>
      </c>
      <c r="BB35" s="2" t="str">
        <f>IF(Footer[[#This Row],[Column47]]&lt;&gt;"","XXX","")</f>
        <v/>
      </c>
      <c r="BC35" s="2" t="str">
        <f>IF(Footer[[#This Row],[Column48]]&lt;&gt;"","XXX","")</f>
        <v/>
      </c>
      <c r="BD35" s="2" t="str">
        <f>IF(Footer[[#This Row],[Column49]]&lt;&gt;"","XXX","")</f>
        <v/>
      </c>
      <c r="BE35" s="2" t="str">
        <f>IF(Footer[[#This Row],[Column50]]&lt;&gt;"","XXX","")</f>
        <v/>
      </c>
      <c r="BF35" s="2" t="str">
        <f>IF(Footer[[#This Row],[Column51]]&lt;&gt;"","XXX","")</f>
        <v/>
      </c>
      <c r="BG35" s="2" t="str">
        <f>IF(Footer[[#This Row],[Column52]]&lt;&gt;"","XXX","")</f>
        <v/>
      </c>
      <c r="BH35" s="2" t="str">
        <f>IF(Footer[[#This Row],[Column53]]&lt;&gt;"","XXX","")</f>
        <v/>
      </c>
      <c r="BI35" s="2" t="str">
        <f>IF(Footer[[#This Row],[Column54]]&lt;&gt;"","XXX","")</f>
        <v/>
      </c>
      <c r="BJ35" s="6" t="str">
        <f>IF(Footer[[#This Row],[Column1]]&lt;&gt;"",SUBSTITUTE(_xlfn.TEXTJOIN(",",TRUE,Footer[[#This Row],[Column1]:[Column61]]),"XXX",""),"")</f>
        <v/>
      </c>
    </row>
    <row r="36" spans="1:62" x14ac:dyDescent="0.25">
      <c r="A36" s="2" t="str">
        <f>IF(Footer[[#This Row],[Column8]]&lt;&gt;"","Data","")</f>
        <v/>
      </c>
      <c r="B36" s="2" t="str">
        <f>IF(Footer[[#This Row],[Column8]]&lt;&gt;"","0","")</f>
        <v/>
      </c>
      <c r="C36" s="2" t="str">
        <f>IF(Footer[[#This Row],[Column8]]&lt;&gt;"","exercise_title","")</f>
        <v/>
      </c>
      <c r="D36" s="2" t="str">
        <f>IF(Footer[[#This Row],[Column8]]&lt;&gt;"","wkt_step_name","")</f>
        <v/>
      </c>
      <c r="E36" s="4" t="str" cm="1">
        <f t="array" ref="E36">IFERROR(INDEX(_xlfn.UNIQUE(_xlfn._xlws.FILTER(Data[Exercise],Data[Exercise]&lt;&gt;""),FALSE,FALSE),ROW(Footer[[#This Row],[Column5]])-ROW($E$14),1),"")</f>
        <v/>
      </c>
      <c r="F36" s="2" t="str">
        <f>IF(Footer[[#This Row],[Column5]]&lt;&gt;"","XXX","")</f>
        <v/>
      </c>
      <c r="G36" s="2" t="str">
        <f>IF(Footer[[#This Row],[Column8]]&lt;&gt;"","message_index","")</f>
        <v/>
      </c>
      <c r="H36" s="4" t="str">
        <f>IF(Footer[[#This Row],[Column5]]&lt;&gt;"",ROW(Footer[[#This Row],[Column5]])-ROW($E$15),"")</f>
        <v/>
      </c>
      <c r="I36" s="2" t="str">
        <f>IF(Footer[[#This Row],[Column8]]&lt;&gt;"","XXX","")</f>
        <v/>
      </c>
      <c r="J36" s="2" t="str">
        <f>IF(Footer[[#This Row],[Column8]]&lt;&gt;"","exercise_category","")</f>
        <v/>
      </c>
      <c r="K36" s="2"/>
      <c r="L36" s="2" t="str">
        <f>IF(Footer[[#This Row],[Column11]]&lt;&gt;"","XXX","")</f>
        <v/>
      </c>
      <c r="M36" s="2" t="str">
        <f>IF(AND(Footer[[#This Row],[Column8]]&lt;&gt;"",Footer[[#This Row],[Column14]]&lt;&gt;""),"exercise_name","")</f>
        <v/>
      </c>
      <c r="N36" s="4" t="str">
        <f>IF(Footer[[#This Row],[Column8]]&lt;&gt;"",IF(VLOOKUP(Footer[[#This Row],[Column5]],Table_Exercises[],3,FALSE)="/","XXX",VLOOKUP(Footer[[#This Row],[Column5]],Table_Exercises[],3,FALSE)),"")</f>
        <v/>
      </c>
      <c r="O36" s="2" t="str">
        <f>IF(Footer[[#This Row],[Column8]]&lt;&gt;"","XXX","")</f>
        <v/>
      </c>
      <c r="P36" s="2" t="str">
        <f>IF(Footer[[#This Row],[Column9]]&lt;&gt;"","XXX","")</f>
        <v/>
      </c>
      <c r="Q36" s="2" t="str">
        <f>IF(Footer[[#This Row],[Column10]]&lt;&gt;"","XXX","")</f>
        <v/>
      </c>
      <c r="R36" s="2" t="str">
        <f>IF(Footer[[#This Row],[Column11]]&lt;&gt;"","XXX","")</f>
        <v/>
      </c>
      <c r="S36" s="2" t="str">
        <f>IF(Footer[[#This Row],[Column12]]&lt;&gt;"","XXX","")</f>
        <v/>
      </c>
      <c r="T36" s="2" t="str">
        <f>IF(Footer[[#This Row],[Column13]]&lt;&gt;"","XXX","")</f>
        <v/>
      </c>
      <c r="U36" s="2" t="str">
        <f>IF(Footer[[#This Row],[Column14]]&lt;&gt;"","XXX","")</f>
        <v/>
      </c>
      <c r="V36" s="2" t="str">
        <f>IF(Footer[[#This Row],[Column15]]&lt;&gt;"","XXX","")</f>
        <v/>
      </c>
      <c r="W36" s="2" t="str">
        <f>IF(Footer[[#This Row],[Column16]]&lt;&gt;"","XXX","")</f>
        <v/>
      </c>
      <c r="X36" s="2" t="str">
        <f>IF(Footer[[#This Row],[Column17]]&lt;&gt;"","XXX","")</f>
        <v/>
      </c>
      <c r="Y36" s="2" t="str">
        <f>IF(Footer[[#This Row],[Column18]]&lt;&gt;"","XXX","")</f>
        <v/>
      </c>
      <c r="Z36" s="2" t="str">
        <f>IF(Footer[[#This Row],[Column19]]&lt;&gt;"","XXX","")</f>
        <v/>
      </c>
      <c r="AA36" s="2" t="str">
        <f>IF(Footer[[#This Row],[Column20]]&lt;&gt;"","XXX","")</f>
        <v/>
      </c>
      <c r="AB36" s="2" t="str">
        <f>IF(Footer[[#This Row],[Column21]]&lt;&gt;"","XXX","")</f>
        <v/>
      </c>
      <c r="AC36" s="2" t="str">
        <f>IF(Footer[[#This Row],[Column22]]&lt;&gt;"","XXX","")</f>
        <v/>
      </c>
      <c r="AD36" s="2" t="str">
        <f>IF(Footer[[#This Row],[Column23]]&lt;&gt;"","XXX","")</f>
        <v/>
      </c>
      <c r="AE36" s="2" t="str">
        <f>IF(Footer[[#This Row],[Column24]]&lt;&gt;"","XXX","")</f>
        <v/>
      </c>
      <c r="AF36" s="2" t="str">
        <f>IF(Footer[[#This Row],[Column25]]&lt;&gt;"","XXX","")</f>
        <v/>
      </c>
      <c r="AG36" s="2" t="str">
        <f>IF(Footer[[#This Row],[Column26]]&lt;&gt;"","XXX","")</f>
        <v/>
      </c>
      <c r="AH36" s="2" t="str">
        <f>IF(Footer[[#This Row],[Column27]]&lt;&gt;"","XXX","")</f>
        <v/>
      </c>
      <c r="AI36" s="2" t="str">
        <f>IF(Footer[[#This Row],[Column28]]&lt;&gt;"","XXX","")</f>
        <v/>
      </c>
      <c r="AJ36" s="2" t="str">
        <f>IF(Footer[[#This Row],[Column29]]&lt;&gt;"","XXX","")</f>
        <v/>
      </c>
      <c r="AK36" s="2" t="str">
        <f>IF(Footer[[#This Row],[Column30]]&lt;&gt;"","XXX","")</f>
        <v/>
      </c>
      <c r="AL36" s="2" t="str">
        <f>IF(Footer[[#This Row],[Column31]]&lt;&gt;"","XXX","")</f>
        <v/>
      </c>
      <c r="AM36" s="2" t="str">
        <f>IF(Footer[[#This Row],[Column32]]&lt;&gt;"","XXX","")</f>
        <v/>
      </c>
      <c r="AN36" s="2" t="str">
        <f>IF(Footer[[#This Row],[Column33]]&lt;&gt;"","XXX","")</f>
        <v/>
      </c>
      <c r="AO36" s="2" t="str">
        <f>IF(Footer[[#This Row],[Column34]]&lt;&gt;"","XXX","")</f>
        <v/>
      </c>
      <c r="AP36" s="2" t="str">
        <f>IF(Footer[[#This Row],[Column35]]&lt;&gt;"","XXX","")</f>
        <v/>
      </c>
      <c r="AQ36" s="2" t="str">
        <f>IF(Footer[[#This Row],[Column36]]&lt;&gt;"","XXX","")</f>
        <v/>
      </c>
      <c r="AR36" s="2" t="str">
        <f>IF(Footer[[#This Row],[Column37]]&lt;&gt;"","XXX","")</f>
        <v/>
      </c>
      <c r="AS36" s="2" t="str">
        <f>IF(Footer[[#This Row],[Column38]]&lt;&gt;"","XXX","")</f>
        <v/>
      </c>
      <c r="AT36" s="2" t="str">
        <f>IF(Footer[[#This Row],[Column39]]&lt;&gt;"","XXX","")</f>
        <v/>
      </c>
      <c r="AU36" s="2" t="str">
        <f>IF(Footer[[#This Row],[Column40]]&lt;&gt;"","XXX","")</f>
        <v/>
      </c>
      <c r="AV36" s="2" t="str">
        <f>IF(Footer[[#This Row],[Column41]]&lt;&gt;"","XXX","")</f>
        <v/>
      </c>
      <c r="AW36" s="6" t="str">
        <f>IF(Footer[[#This Row],[Column42]]&lt;&gt;"","XXX","")</f>
        <v/>
      </c>
      <c r="AX36" s="2" t="str">
        <f>IF(Footer[[#This Row],[Column43]]&lt;&gt;"","XXX","")</f>
        <v/>
      </c>
      <c r="AY36" s="2" t="str">
        <f>IF(Footer[[#This Row],[Column44]]&lt;&gt;"","XXX","")</f>
        <v/>
      </c>
      <c r="AZ36" s="2" t="str">
        <f>IF(Footer[[#This Row],[Column45]]&lt;&gt;"","XXX","")</f>
        <v/>
      </c>
      <c r="BA36" s="2" t="str">
        <f>IF(Footer[[#This Row],[Column46]]&lt;&gt;"","XXX","")</f>
        <v/>
      </c>
      <c r="BB36" s="2" t="str">
        <f>IF(Footer[[#This Row],[Column47]]&lt;&gt;"","XXX","")</f>
        <v/>
      </c>
      <c r="BC36" s="2" t="str">
        <f>IF(Footer[[#This Row],[Column48]]&lt;&gt;"","XXX","")</f>
        <v/>
      </c>
      <c r="BD36" s="2" t="str">
        <f>IF(Footer[[#This Row],[Column49]]&lt;&gt;"","XXX","")</f>
        <v/>
      </c>
      <c r="BE36" s="2" t="str">
        <f>IF(Footer[[#This Row],[Column50]]&lt;&gt;"","XXX","")</f>
        <v/>
      </c>
      <c r="BF36" s="2" t="str">
        <f>IF(Footer[[#This Row],[Column51]]&lt;&gt;"","XXX","")</f>
        <v/>
      </c>
      <c r="BG36" s="2" t="str">
        <f>IF(Footer[[#This Row],[Column52]]&lt;&gt;"","XXX","")</f>
        <v/>
      </c>
      <c r="BH36" s="2" t="str">
        <f>IF(Footer[[#This Row],[Column53]]&lt;&gt;"","XXX","")</f>
        <v/>
      </c>
      <c r="BI36" s="2" t="str">
        <f>IF(Footer[[#This Row],[Column54]]&lt;&gt;"","XXX","")</f>
        <v/>
      </c>
      <c r="BJ36" s="6" t="str">
        <f>IF(Footer[[#This Row],[Column1]]&lt;&gt;"",SUBSTITUTE(_xlfn.TEXTJOIN(",",TRUE,Footer[[#This Row],[Column1]:[Column61]]),"XXX",""),"")</f>
        <v/>
      </c>
    </row>
    <row r="37" spans="1:62" x14ac:dyDescent="0.25">
      <c r="A37" s="2" t="str">
        <f>IF(Footer[[#This Row],[Column8]]&lt;&gt;"","Data","")</f>
        <v/>
      </c>
      <c r="B37" s="2" t="str">
        <f>IF(Footer[[#This Row],[Column8]]&lt;&gt;"","0","")</f>
        <v/>
      </c>
      <c r="C37" s="2" t="str">
        <f>IF(Footer[[#This Row],[Column8]]&lt;&gt;"","exercise_title","")</f>
        <v/>
      </c>
      <c r="D37" s="2" t="str">
        <f>IF(Footer[[#This Row],[Column8]]&lt;&gt;"","wkt_step_name","")</f>
        <v/>
      </c>
      <c r="E37" s="4" t="str" cm="1">
        <f t="array" ref="E37">IFERROR(INDEX(_xlfn.UNIQUE(_xlfn._xlws.FILTER(Data[Exercise],Data[Exercise]&lt;&gt;""),FALSE,FALSE),ROW(Footer[[#This Row],[Column5]])-ROW($E$14),1),"")</f>
        <v/>
      </c>
      <c r="F37" s="2" t="str">
        <f>IF(Footer[[#This Row],[Column5]]&lt;&gt;"","XXX","")</f>
        <v/>
      </c>
      <c r="G37" s="2" t="str">
        <f>IF(Footer[[#This Row],[Column8]]&lt;&gt;"","message_index","")</f>
        <v/>
      </c>
      <c r="H37" s="4" t="str">
        <f>IF(Footer[[#This Row],[Column5]]&lt;&gt;"",ROW(Footer[[#This Row],[Column5]])-ROW($E$15),"")</f>
        <v/>
      </c>
      <c r="I37" s="2" t="str">
        <f>IF(Footer[[#This Row],[Column8]]&lt;&gt;"","XXX","")</f>
        <v/>
      </c>
      <c r="J37" s="2" t="str">
        <f>IF(Footer[[#This Row],[Column8]]&lt;&gt;"","exercise_category","")</f>
        <v/>
      </c>
      <c r="K37" s="2"/>
      <c r="L37" s="2" t="str">
        <f>IF(Footer[[#This Row],[Column11]]&lt;&gt;"","XXX","")</f>
        <v/>
      </c>
      <c r="M37" s="2" t="str">
        <f>IF(AND(Footer[[#This Row],[Column8]]&lt;&gt;"",Footer[[#This Row],[Column14]]&lt;&gt;""),"exercise_name","")</f>
        <v/>
      </c>
      <c r="N37" s="4" t="str">
        <f>IF(Footer[[#This Row],[Column8]]&lt;&gt;"",IF(VLOOKUP(Footer[[#This Row],[Column5]],Table_Exercises[],3,FALSE)="/","XXX",VLOOKUP(Footer[[#This Row],[Column5]],Table_Exercises[],3,FALSE)),"")</f>
        <v/>
      </c>
      <c r="O37" s="2" t="str">
        <f>IF(Footer[[#This Row],[Column8]]&lt;&gt;"","XXX","")</f>
        <v/>
      </c>
      <c r="P37" s="2" t="str">
        <f>IF(Footer[[#This Row],[Column9]]&lt;&gt;"","XXX","")</f>
        <v/>
      </c>
      <c r="Q37" s="2" t="str">
        <f>IF(Footer[[#This Row],[Column10]]&lt;&gt;"","XXX","")</f>
        <v/>
      </c>
      <c r="R37" s="2" t="str">
        <f>IF(Footer[[#This Row],[Column11]]&lt;&gt;"","XXX","")</f>
        <v/>
      </c>
      <c r="S37" s="2" t="str">
        <f>IF(Footer[[#This Row],[Column12]]&lt;&gt;"","XXX","")</f>
        <v/>
      </c>
      <c r="T37" s="2" t="str">
        <f>IF(Footer[[#This Row],[Column13]]&lt;&gt;"","XXX","")</f>
        <v/>
      </c>
      <c r="U37" s="2" t="str">
        <f>IF(Footer[[#This Row],[Column14]]&lt;&gt;"","XXX","")</f>
        <v/>
      </c>
      <c r="V37" s="2" t="str">
        <f>IF(Footer[[#This Row],[Column15]]&lt;&gt;"","XXX","")</f>
        <v/>
      </c>
      <c r="W37" s="2" t="str">
        <f>IF(Footer[[#This Row],[Column16]]&lt;&gt;"","XXX","")</f>
        <v/>
      </c>
      <c r="X37" s="2" t="str">
        <f>IF(Footer[[#This Row],[Column17]]&lt;&gt;"","XXX","")</f>
        <v/>
      </c>
      <c r="Y37" s="2" t="str">
        <f>IF(Footer[[#This Row],[Column18]]&lt;&gt;"","XXX","")</f>
        <v/>
      </c>
      <c r="Z37" s="2" t="str">
        <f>IF(Footer[[#This Row],[Column19]]&lt;&gt;"","XXX","")</f>
        <v/>
      </c>
      <c r="AA37" s="2" t="str">
        <f>IF(Footer[[#This Row],[Column20]]&lt;&gt;"","XXX","")</f>
        <v/>
      </c>
      <c r="AB37" s="2" t="str">
        <f>IF(Footer[[#This Row],[Column21]]&lt;&gt;"","XXX","")</f>
        <v/>
      </c>
      <c r="AC37" s="2" t="str">
        <f>IF(Footer[[#This Row],[Column22]]&lt;&gt;"","XXX","")</f>
        <v/>
      </c>
      <c r="AD37" s="2" t="str">
        <f>IF(Footer[[#This Row],[Column23]]&lt;&gt;"","XXX","")</f>
        <v/>
      </c>
      <c r="AE37" s="2" t="str">
        <f>IF(Footer[[#This Row],[Column24]]&lt;&gt;"","XXX","")</f>
        <v/>
      </c>
      <c r="AF37" s="2" t="str">
        <f>IF(Footer[[#This Row],[Column25]]&lt;&gt;"","XXX","")</f>
        <v/>
      </c>
      <c r="AG37" s="2" t="str">
        <f>IF(Footer[[#This Row],[Column26]]&lt;&gt;"","XXX","")</f>
        <v/>
      </c>
      <c r="AH37" s="2" t="str">
        <f>IF(Footer[[#This Row],[Column27]]&lt;&gt;"","XXX","")</f>
        <v/>
      </c>
      <c r="AI37" s="2" t="str">
        <f>IF(Footer[[#This Row],[Column28]]&lt;&gt;"","XXX","")</f>
        <v/>
      </c>
      <c r="AJ37" s="2" t="str">
        <f>IF(Footer[[#This Row],[Column29]]&lt;&gt;"","XXX","")</f>
        <v/>
      </c>
      <c r="AK37" s="2" t="str">
        <f>IF(Footer[[#This Row],[Column30]]&lt;&gt;"","XXX","")</f>
        <v/>
      </c>
      <c r="AL37" s="2" t="str">
        <f>IF(Footer[[#This Row],[Column31]]&lt;&gt;"","XXX","")</f>
        <v/>
      </c>
      <c r="AM37" s="2" t="str">
        <f>IF(Footer[[#This Row],[Column32]]&lt;&gt;"","XXX","")</f>
        <v/>
      </c>
      <c r="AN37" s="2" t="str">
        <f>IF(Footer[[#This Row],[Column33]]&lt;&gt;"","XXX","")</f>
        <v/>
      </c>
      <c r="AO37" s="2" t="str">
        <f>IF(Footer[[#This Row],[Column34]]&lt;&gt;"","XXX","")</f>
        <v/>
      </c>
      <c r="AP37" s="2" t="str">
        <f>IF(Footer[[#This Row],[Column35]]&lt;&gt;"","XXX","")</f>
        <v/>
      </c>
      <c r="AQ37" s="2" t="str">
        <f>IF(Footer[[#This Row],[Column36]]&lt;&gt;"","XXX","")</f>
        <v/>
      </c>
      <c r="AR37" s="2" t="str">
        <f>IF(Footer[[#This Row],[Column37]]&lt;&gt;"","XXX","")</f>
        <v/>
      </c>
      <c r="AS37" s="2" t="str">
        <f>IF(Footer[[#This Row],[Column38]]&lt;&gt;"","XXX","")</f>
        <v/>
      </c>
      <c r="AT37" s="2" t="str">
        <f>IF(Footer[[#This Row],[Column39]]&lt;&gt;"","XXX","")</f>
        <v/>
      </c>
      <c r="AU37" s="2" t="str">
        <f>IF(Footer[[#This Row],[Column40]]&lt;&gt;"","XXX","")</f>
        <v/>
      </c>
      <c r="AV37" s="2" t="str">
        <f>IF(Footer[[#This Row],[Column41]]&lt;&gt;"","XXX","")</f>
        <v/>
      </c>
      <c r="AW37" s="6" t="str">
        <f>IF(Footer[[#This Row],[Column42]]&lt;&gt;"","XXX","")</f>
        <v/>
      </c>
      <c r="AX37" s="2" t="str">
        <f>IF(Footer[[#This Row],[Column43]]&lt;&gt;"","XXX","")</f>
        <v/>
      </c>
      <c r="AY37" s="2" t="str">
        <f>IF(Footer[[#This Row],[Column44]]&lt;&gt;"","XXX","")</f>
        <v/>
      </c>
      <c r="AZ37" s="2" t="str">
        <f>IF(Footer[[#This Row],[Column45]]&lt;&gt;"","XXX","")</f>
        <v/>
      </c>
      <c r="BA37" s="2" t="str">
        <f>IF(Footer[[#This Row],[Column46]]&lt;&gt;"","XXX","")</f>
        <v/>
      </c>
      <c r="BB37" s="2" t="str">
        <f>IF(Footer[[#This Row],[Column47]]&lt;&gt;"","XXX","")</f>
        <v/>
      </c>
      <c r="BC37" s="2" t="str">
        <f>IF(Footer[[#This Row],[Column48]]&lt;&gt;"","XXX","")</f>
        <v/>
      </c>
      <c r="BD37" s="2" t="str">
        <f>IF(Footer[[#This Row],[Column49]]&lt;&gt;"","XXX","")</f>
        <v/>
      </c>
      <c r="BE37" s="2" t="str">
        <f>IF(Footer[[#This Row],[Column50]]&lt;&gt;"","XXX","")</f>
        <v/>
      </c>
      <c r="BF37" s="2" t="str">
        <f>IF(Footer[[#This Row],[Column51]]&lt;&gt;"","XXX","")</f>
        <v/>
      </c>
      <c r="BG37" s="2" t="str">
        <f>IF(Footer[[#This Row],[Column52]]&lt;&gt;"","XXX","")</f>
        <v/>
      </c>
      <c r="BH37" s="2" t="str">
        <f>IF(Footer[[#This Row],[Column53]]&lt;&gt;"","XXX","")</f>
        <v/>
      </c>
      <c r="BI37" s="2" t="str">
        <f>IF(Footer[[#This Row],[Column54]]&lt;&gt;"","XXX","")</f>
        <v/>
      </c>
      <c r="BJ37" s="6" t="str">
        <f>IF(Footer[[#This Row],[Column1]]&lt;&gt;"",SUBSTITUTE(_xlfn.TEXTJOIN(",",TRUE,Footer[[#This Row],[Column1]:[Column61]]),"XXX",""),"")</f>
        <v/>
      </c>
    </row>
    <row r="38" spans="1:62" x14ac:dyDescent="0.25">
      <c r="A38" s="2" t="str">
        <f>IF(Footer[[#This Row],[Column8]]&lt;&gt;"","Data","")</f>
        <v/>
      </c>
      <c r="B38" s="2" t="str">
        <f>IF(Footer[[#This Row],[Column8]]&lt;&gt;"","0","")</f>
        <v/>
      </c>
      <c r="C38" s="2" t="str">
        <f>IF(Footer[[#This Row],[Column8]]&lt;&gt;"","exercise_title","")</f>
        <v/>
      </c>
      <c r="D38" s="2" t="str">
        <f>IF(Footer[[#This Row],[Column8]]&lt;&gt;"","wkt_step_name","")</f>
        <v/>
      </c>
      <c r="E38" s="4" t="str" cm="1">
        <f t="array" ref="E38">IFERROR(INDEX(_xlfn.UNIQUE(_xlfn._xlws.FILTER(Data[Exercise],Data[Exercise]&lt;&gt;""),FALSE,FALSE),ROW(Footer[[#This Row],[Column5]])-ROW($E$14),1),"")</f>
        <v/>
      </c>
      <c r="F38" s="2" t="str">
        <f>IF(Footer[[#This Row],[Column5]]&lt;&gt;"","XXX","")</f>
        <v/>
      </c>
      <c r="G38" s="2" t="str">
        <f>IF(Footer[[#This Row],[Column8]]&lt;&gt;"","message_index","")</f>
        <v/>
      </c>
      <c r="H38" s="4" t="str">
        <f>IF(Footer[[#This Row],[Column5]]&lt;&gt;"",ROW(Footer[[#This Row],[Column5]])-ROW($E$15),"")</f>
        <v/>
      </c>
      <c r="I38" s="2" t="str">
        <f>IF(Footer[[#This Row],[Column8]]&lt;&gt;"","XXX","")</f>
        <v/>
      </c>
      <c r="J38" s="2" t="str">
        <f>IF(Footer[[#This Row],[Column8]]&lt;&gt;"","exercise_category","")</f>
        <v/>
      </c>
      <c r="K38" s="2"/>
      <c r="L38" s="2" t="str">
        <f>IF(Footer[[#This Row],[Column11]]&lt;&gt;"","XXX","")</f>
        <v/>
      </c>
      <c r="M38" s="2" t="str">
        <f>IF(AND(Footer[[#This Row],[Column8]]&lt;&gt;"",Footer[[#This Row],[Column14]]&lt;&gt;""),"exercise_name","")</f>
        <v/>
      </c>
      <c r="N38" s="4" t="str">
        <f>IF(Footer[[#This Row],[Column8]]&lt;&gt;"",IF(VLOOKUP(Footer[[#This Row],[Column5]],Table_Exercises[],3,FALSE)="/","XXX",VLOOKUP(Footer[[#This Row],[Column5]],Table_Exercises[],3,FALSE)),"")</f>
        <v/>
      </c>
      <c r="O38" s="2" t="str">
        <f>IF(Footer[[#This Row],[Column8]]&lt;&gt;"","XXX","")</f>
        <v/>
      </c>
      <c r="P38" s="2" t="str">
        <f>IF(Footer[[#This Row],[Column9]]&lt;&gt;"","XXX","")</f>
        <v/>
      </c>
      <c r="Q38" s="2" t="str">
        <f>IF(Footer[[#This Row],[Column10]]&lt;&gt;"","XXX","")</f>
        <v/>
      </c>
      <c r="R38" s="2" t="str">
        <f>IF(Footer[[#This Row],[Column11]]&lt;&gt;"","XXX","")</f>
        <v/>
      </c>
      <c r="S38" s="2" t="str">
        <f>IF(Footer[[#This Row],[Column12]]&lt;&gt;"","XXX","")</f>
        <v/>
      </c>
      <c r="T38" s="2" t="str">
        <f>IF(Footer[[#This Row],[Column13]]&lt;&gt;"","XXX","")</f>
        <v/>
      </c>
      <c r="U38" s="2" t="str">
        <f>IF(Footer[[#This Row],[Column14]]&lt;&gt;"","XXX","")</f>
        <v/>
      </c>
      <c r="V38" s="2" t="str">
        <f>IF(Footer[[#This Row],[Column15]]&lt;&gt;"","XXX","")</f>
        <v/>
      </c>
      <c r="W38" s="2" t="str">
        <f>IF(Footer[[#This Row],[Column16]]&lt;&gt;"","XXX","")</f>
        <v/>
      </c>
      <c r="X38" s="2" t="str">
        <f>IF(Footer[[#This Row],[Column17]]&lt;&gt;"","XXX","")</f>
        <v/>
      </c>
      <c r="Y38" s="2" t="str">
        <f>IF(Footer[[#This Row],[Column18]]&lt;&gt;"","XXX","")</f>
        <v/>
      </c>
      <c r="Z38" s="2" t="str">
        <f>IF(Footer[[#This Row],[Column19]]&lt;&gt;"","XXX","")</f>
        <v/>
      </c>
      <c r="AA38" s="2" t="str">
        <f>IF(Footer[[#This Row],[Column20]]&lt;&gt;"","XXX","")</f>
        <v/>
      </c>
      <c r="AB38" s="2" t="str">
        <f>IF(Footer[[#This Row],[Column21]]&lt;&gt;"","XXX","")</f>
        <v/>
      </c>
      <c r="AC38" s="2" t="str">
        <f>IF(Footer[[#This Row],[Column22]]&lt;&gt;"","XXX","")</f>
        <v/>
      </c>
      <c r="AD38" s="2" t="str">
        <f>IF(Footer[[#This Row],[Column23]]&lt;&gt;"","XXX","")</f>
        <v/>
      </c>
      <c r="AE38" s="2" t="str">
        <f>IF(Footer[[#This Row],[Column24]]&lt;&gt;"","XXX","")</f>
        <v/>
      </c>
      <c r="AF38" s="2" t="str">
        <f>IF(Footer[[#This Row],[Column25]]&lt;&gt;"","XXX","")</f>
        <v/>
      </c>
      <c r="AG38" s="2" t="str">
        <f>IF(Footer[[#This Row],[Column26]]&lt;&gt;"","XXX","")</f>
        <v/>
      </c>
      <c r="AH38" s="2" t="str">
        <f>IF(Footer[[#This Row],[Column27]]&lt;&gt;"","XXX","")</f>
        <v/>
      </c>
      <c r="AI38" s="2" t="str">
        <f>IF(Footer[[#This Row],[Column28]]&lt;&gt;"","XXX","")</f>
        <v/>
      </c>
      <c r="AJ38" s="2" t="str">
        <f>IF(Footer[[#This Row],[Column29]]&lt;&gt;"","XXX","")</f>
        <v/>
      </c>
      <c r="AK38" s="2" t="str">
        <f>IF(Footer[[#This Row],[Column30]]&lt;&gt;"","XXX","")</f>
        <v/>
      </c>
      <c r="AL38" s="2" t="str">
        <f>IF(Footer[[#This Row],[Column31]]&lt;&gt;"","XXX","")</f>
        <v/>
      </c>
      <c r="AM38" s="2" t="str">
        <f>IF(Footer[[#This Row],[Column32]]&lt;&gt;"","XXX","")</f>
        <v/>
      </c>
      <c r="AN38" s="2" t="str">
        <f>IF(Footer[[#This Row],[Column33]]&lt;&gt;"","XXX","")</f>
        <v/>
      </c>
      <c r="AO38" s="2" t="str">
        <f>IF(Footer[[#This Row],[Column34]]&lt;&gt;"","XXX","")</f>
        <v/>
      </c>
      <c r="AP38" s="2" t="str">
        <f>IF(Footer[[#This Row],[Column35]]&lt;&gt;"","XXX","")</f>
        <v/>
      </c>
      <c r="AQ38" s="2" t="str">
        <f>IF(Footer[[#This Row],[Column36]]&lt;&gt;"","XXX","")</f>
        <v/>
      </c>
      <c r="AR38" s="2" t="str">
        <f>IF(Footer[[#This Row],[Column37]]&lt;&gt;"","XXX","")</f>
        <v/>
      </c>
      <c r="AS38" s="2" t="str">
        <f>IF(Footer[[#This Row],[Column38]]&lt;&gt;"","XXX","")</f>
        <v/>
      </c>
      <c r="AT38" s="2" t="str">
        <f>IF(Footer[[#This Row],[Column39]]&lt;&gt;"","XXX","")</f>
        <v/>
      </c>
      <c r="AU38" s="2" t="str">
        <f>IF(Footer[[#This Row],[Column40]]&lt;&gt;"","XXX","")</f>
        <v/>
      </c>
      <c r="AV38" s="2" t="str">
        <f>IF(Footer[[#This Row],[Column41]]&lt;&gt;"","XXX","")</f>
        <v/>
      </c>
      <c r="AW38" s="6" t="str">
        <f>IF(Footer[[#This Row],[Column42]]&lt;&gt;"","XXX","")</f>
        <v/>
      </c>
      <c r="AX38" s="2" t="str">
        <f>IF(Footer[[#This Row],[Column43]]&lt;&gt;"","XXX","")</f>
        <v/>
      </c>
      <c r="AY38" s="2" t="str">
        <f>IF(Footer[[#This Row],[Column44]]&lt;&gt;"","XXX","")</f>
        <v/>
      </c>
      <c r="AZ38" s="2" t="str">
        <f>IF(Footer[[#This Row],[Column45]]&lt;&gt;"","XXX","")</f>
        <v/>
      </c>
      <c r="BA38" s="2" t="str">
        <f>IF(Footer[[#This Row],[Column46]]&lt;&gt;"","XXX","")</f>
        <v/>
      </c>
      <c r="BB38" s="2" t="str">
        <f>IF(Footer[[#This Row],[Column47]]&lt;&gt;"","XXX","")</f>
        <v/>
      </c>
      <c r="BC38" s="2" t="str">
        <f>IF(Footer[[#This Row],[Column48]]&lt;&gt;"","XXX","")</f>
        <v/>
      </c>
      <c r="BD38" s="2" t="str">
        <f>IF(Footer[[#This Row],[Column49]]&lt;&gt;"","XXX","")</f>
        <v/>
      </c>
      <c r="BE38" s="2" t="str">
        <f>IF(Footer[[#This Row],[Column50]]&lt;&gt;"","XXX","")</f>
        <v/>
      </c>
      <c r="BF38" s="2" t="str">
        <f>IF(Footer[[#This Row],[Column51]]&lt;&gt;"","XXX","")</f>
        <v/>
      </c>
      <c r="BG38" s="2" t="str">
        <f>IF(Footer[[#This Row],[Column52]]&lt;&gt;"","XXX","")</f>
        <v/>
      </c>
      <c r="BH38" s="2" t="str">
        <f>IF(Footer[[#This Row],[Column53]]&lt;&gt;"","XXX","")</f>
        <v/>
      </c>
      <c r="BI38" s="2" t="str">
        <f>IF(Footer[[#This Row],[Column54]]&lt;&gt;"","XXX","")</f>
        <v/>
      </c>
      <c r="BJ38" s="6" t="str">
        <f>IF(Footer[[#This Row],[Column1]]&lt;&gt;"",SUBSTITUTE(_xlfn.TEXTJOIN(",",TRUE,Footer[[#This Row],[Column1]:[Column61]]),"XXX",""),"")</f>
        <v/>
      </c>
    </row>
    <row r="39" spans="1:62" x14ac:dyDescent="0.25">
      <c r="A39" s="2" t="str">
        <f>IF(Footer[[#This Row],[Column8]]&lt;&gt;"","Data","")</f>
        <v/>
      </c>
      <c r="B39" s="2" t="str">
        <f>IF(Footer[[#This Row],[Column8]]&lt;&gt;"","0","")</f>
        <v/>
      </c>
      <c r="C39" s="2" t="str">
        <f>IF(Footer[[#This Row],[Column8]]&lt;&gt;"","exercise_title","")</f>
        <v/>
      </c>
      <c r="D39" s="2" t="str">
        <f>IF(Footer[[#This Row],[Column8]]&lt;&gt;"","wkt_step_name","")</f>
        <v/>
      </c>
      <c r="E39" s="4" t="str" cm="1">
        <f t="array" ref="E39">IFERROR(INDEX(_xlfn.UNIQUE(_xlfn._xlws.FILTER(Data[Exercise],Data[Exercise]&lt;&gt;""),FALSE,FALSE),ROW(Footer[[#This Row],[Column5]])-ROW($E$14),1),"")</f>
        <v/>
      </c>
      <c r="F39" s="2" t="str">
        <f>IF(Footer[[#This Row],[Column5]]&lt;&gt;"","XXX","")</f>
        <v/>
      </c>
      <c r="G39" s="2" t="str">
        <f>IF(Footer[[#This Row],[Column8]]&lt;&gt;"","message_index","")</f>
        <v/>
      </c>
      <c r="H39" s="4" t="str">
        <f>IF(Footer[[#This Row],[Column5]]&lt;&gt;"",ROW(Footer[[#This Row],[Column5]])-ROW($E$15),"")</f>
        <v/>
      </c>
      <c r="I39" s="2" t="str">
        <f>IF(Footer[[#This Row],[Column8]]&lt;&gt;"","XXX","")</f>
        <v/>
      </c>
      <c r="J39" s="2" t="str">
        <f>IF(Footer[[#This Row],[Column8]]&lt;&gt;"","exercise_category","")</f>
        <v/>
      </c>
      <c r="K39" s="2"/>
      <c r="L39" s="2" t="str">
        <f>IF(Footer[[#This Row],[Column11]]&lt;&gt;"","XXX","")</f>
        <v/>
      </c>
      <c r="M39" s="2" t="str">
        <f>IF(AND(Footer[[#This Row],[Column8]]&lt;&gt;"",Footer[[#This Row],[Column14]]&lt;&gt;""),"exercise_name","")</f>
        <v/>
      </c>
      <c r="N39" s="4" t="str">
        <f>IF(Footer[[#This Row],[Column8]]&lt;&gt;"",IF(VLOOKUP(Footer[[#This Row],[Column5]],Table_Exercises[],3,FALSE)="/","XXX",VLOOKUP(Footer[[#This Row],[Column5]],Table_Exercises[],3,FALSE)),"")</f>
        <v/>
      </c>
      <c r="O39" s="2" t="str">
        <f>IF(Footer[[#This Row],[Column8]]&lt;&gt;"","XXX","")</f>
        <v/>
      </c>
      <c r="P39" s="2" t="str">
        <f>IF(Footer[[#This Row],[Column9]]&lt;&gt;"","XXX","")</f>
        <v/>
      </c>
      <c r="Q39" s="2" t="str">
        <f>IF(Footer[[#This Row],[Column10]]&lt;&gt;"","XXX","")</f>
        <v/>
      </c>
      <c r="R39" s="2" t="str">
        <f>IF(Footer[[#This Row],[Column11]]&lt;&gt;"","XXX","")</f>
        <v/>
      </c>
      <c r="S39" s="2" t="str">
        <f>IF(Footer[[#This Row],[Column12]]&lt;&gt;"","XXX","")</f>
        <v/>
      </c>
      <c r="T39" s="2" t="str">
        <f>IF(Footer[[#This Row],[Column13]]&lt;&gt;"","XXX","")</f>
        <v/>
      </c>
      <c r="U39" s="2" t="str">
        <f>IF(Footer[[#This Row],[Column14]]&lt;&gt;"","XXX","")</f>
        <v/>
      </c>
      <c r="V39" s="2" t="str">
        <f>IF(Footer[[#This Row],[Column15]]&lt;&gt;"","XXX","")</f>
        <v/>
      </c>
      <c r="W39" s="2" t="str">
        <f>IF(Footer[[#This Row],[Column16]]&lt;&gt;"","XXX","")</f>
        <v/>
      </c>
      <c r="X39" s="2" t="str">
        <f>IF(Footer[[#This Row],[Column17]]&lt;&gt;"","XXX","")</f>
        <v/>
      </c>
      <c r="Y39" s="2" t="str">
        <f>IF(Footer[[#This Row],[Column18]]&lt;&gt;"","XXX","")</f>
        <v/>
      </c>
      <c r="Z39" s="2" t="str">
        <f>IF(Footer[[#This Row],[Column19]]&lt;&gt;"","XXX","")</f>
        <v/>
      </c>
      <c r="AA39" s="2" t="str">
        <f>IF(Footer[[#This Row],[Column20]]&lt;&gt;"","XXX","")</f>
        <v/>
      </c>
      <c r="AB39" s="2" t="str">
        <f>IF(Footer[[#This Row],[Column21]]&lt;&gt;"","XXX","")</f>
        <v/>
      </c>
      <c r="AC39" s="2" t="str">
        <f>IF(Footer[[#This Row],[Column22]]&lt;&gt;"","XXX","")</f>
        <v/>
      </c>
      <c r="AD39" s="2" t="str">
        <f>IF(Footer[[#This Row],[Column23]]&lt;&gt;"","XXX","")</f>
        <v/>
      </c>
      <c r="AE39" s="2" t="str">
        <f>IF(Footer[[#This Row],[Column24]]&lt;&gt;"","XXX","")</f>
        <v/>
      </c>
      <c r="AF39" s="2" t="str">
        <f>IF(Footer[[#This Row],[Column25]]&lt;&gt;"","XXX","")</f>
        <v/>
      </c>
      <c r="AG39" s="2" t="str">
        <f>IF(Footer[[#This Row],[Column26]]&lt;&gt;"","XXX","")</f>
        <v/>
      </c>
      <c r="AH39" s="2" t="str">
        <f>IF(Footer[[#This Row],[Column27]]&lt;&gt;"","XXX","")</f>
        <v/>
      </c>
      <c r="AI39" s="2" t="str">
        <f>IF(Footer[[#This Row],[Column28]]&lt;&gt;"","XXX","")</f>
        <v/>
      </c>
      <c r="AJ39" s="2" t="str">
        <f>IF(Footer[[#This Row],[Column29]]&lt;&gt;"","XXX","")</f>
        <v/>
      </c>
      <c r="AK39" s="2" t="str">
        <f>IF(Footer[[#This Row],[Column30]]&lt;&gt;"","XXX","")</f>
        <v/>
      </c>
      <c r="AL39" s="2" t="str">
        <f>IF(Footer[[#This Row],[Column31]]&lt;&gt;"","XXX","")</f>
        <v/>
      </c>
      <c r="AM39" s="2" t="str">
        <f>IF(Footer[[#This Row],[Column32]]&lt;&gt;"","XXX","")</f>
        <v/>
      </c>
      <c r="AN39" s="2" t="str">
        <f>IF(Footer[[#This Row],[Column33]]&lt;&gt;"","XXX","")</f>
        <v/>
      </c>
      <c r="AO39" s="2" t="str">
        <f>IF(Footer[[#This Row],[Column34]]&lt;&gt;"","XXX","")</f>
        <v/>
      </c>
      <c r="AP39" s="2" t="str">
        <f>IF(Footer[[#This Row],[Column35]]&lt;&gt;"","XXX","")</f>
        <v/>
      </c>
      <c r="AQ39" s="2" t="str">
        <f>IF(Footer[[#This Row],[Column36]]&lt;&gt;"","XXX","")</f>
        <v/>
      </c>
      <c r="AR39" s="2" t="str">
        <f>IF(Footer[[#This Row],[Column37]]&lt;&gt;"","XXX","")</f>
        <v/>
      </c>
      <c r="AS39" s="2" t="str">
        <f>IF(Footer[[#This Row],[Column38]]&lt;&gt;"","XXX","")</f>
        <v/>
      </c>
      <c r="AT39" s="2" t="str">
        <f>IF(Footer[[#This Row],[Column39]]&lt;&gt;"","XXX","")</f>
        <v/>
      </c>
      <c r="AU39" s="2" t="str">
        <f>IF(Footer[[#This Row],[Column40]]&lt;&gt;"","XXX","")</f>
        <v/>
      </c>
      <c r="AV39" s="2" t="str">
        <f>IF(Footer[[#This Row],[Column41]]&lt;&gt;"","XXX","")</f>
        <v/>
      </c>
      <c r="AW39" s="6" t="str">
        <f>IF(Footer[[#This Row],[Column42]]&lt;&gt;"","XXX","")</f>
        <v/>
      </c>
      <c r="AX39" s="2" t="str">
        <f>IF(Footer[[#This Row],[Column43]]&lt;&gt;"","XXX","")</f>
        <v/>
      </c>
      <c r="AY39" s="2" t="str">
        <f>IF(Footer[[#This Row],[Column44]]&lt;&gt;"","XXX","")</f>
        <v/>
      </c>
      <c r="AZ39" s="2" t="str">
        <f>IF(Footer[[#This Row],[Column45]]&lt;&gt;"","XXX","")</f>
        <v/>
      </c>
      <c r="BA39" s="2" t="str">
        <f>IF(Footer[[#This Row],[Column46]]&lt;&gt;"","XXX","")</f>
        <v/>
      </c>
      <c r="BB39" s="2" t="str">
        <f>IF(Footer[[#This Row],[Column47]]&lt;&gt;"","XXX","")</f>
        <v/>
      </c>
      <c r="BC39" s="2" t="str">
        <f>IF(Footer[[#This Row],[Column48]]&lt;&gt;"","XXX","")</f>
        <v/>
      </c>
      <c r="BD39" s="2" t="str">
        <f>IF(Footer[[#This Row],[Column49]]&lt;&gt;"","XXX","")</f>
        <v/>
      </c>
      <c r="BE39" s="2" t="str">
        <f>IF(Footer[[#This Row],[Column50]]&lt;&gt;"","XXX","")</f>
        <v/>
      </c>
      <c r="BF39" s="2" t="str">
        <f>IF(Footer[[#This Row],[Column51]]&lt;&gt;"","XXX","")</f>
        <v/>
      </c>
      <c r="BG39" s="2" t="str">
        <f>IF(Footer[[#This Row],[Column52]]&lt;&gt;"","XXX","")</f>
        <v/>
      </c>
      <c r="BH39" s="2" t="str">
        <f>IF(Footer[[#This Row],[Column53]]&lt;&gt;"","XXX","")</f>
        <v/>
      </c>
      <c r="BI39" s="2" t="str">
        <f>IF(Footer[[#This Row],[Column54]]&lt;&gt;"","XXX","")</f>
        <v/>
      </c>
      <c r="BJ39" s="6" t="str">
        <f>IF(Footer[[#This Row],[Column1]]&lt;&gt;"",SUBSTITUTE(_xlfn.TEXTJOIN(",",TRUE,Footer[[#This Row],[Column1]:[Column61]]),"XXX",""),"")</f>
        <v/>
      </c>
    </row>
    <row r="40" spans="1:62" x14ac:dyDescent="0.25">
      <c r="A40" s="2" t="str">
        <f>IF(Footer[[#This Row],[Column8]]&lt;&gt;"","Data","")</f>
        <v/>
      </c>
      <c r="B40" s="2" t="str">
        <f>IF(Footer[[#This Row],[Column8]]&lt;&gt;"","0","")</f>
        <v/>
      </c>
      <c r="C40" s="2" t="str">
        <f>IF(Footer[[#This Row],[Column8]]&lt;&gt;"","exercise_title","")</f>
        <v/>
      </c>
      <c r="D40" s="2" t="str">
        <f>IF(Footer[[#This Row],[Column8]]&lt;&gt;"","wkt_step_name","")</f>
        <v/>
      </c>
      <c r="E40" s="4" t="str" cm="1">
        <f t="array" ref="E40">IFERROR(INDEX(_xlfn.UNIQUE(_xlfn._xlws.FILTER(Data[Exercise],Data[Exercise]&lt;&gt;""),FALSE,FALSE),ROW(Footer[[#This Row],[Column5]])-ROW($E$14),1),"")</f>
        <v/>
      </c>
      <c r="F40" s="2" t="str">
        <f>IF(Footer[[#This Row],[Column5]]&lt;&gt;"","XXX","")</f>
        <v/>
      </c>
      <c r="G40" s="2" t="str">
        <f>IF(Footer[[#This Row],[Column8]]&lt;&gt;"","message_index","")</f>
        <v/>
      </c>
      <c r="H40" s="4" t="str">
        <f>IF(Footer[[#This Row],[Column5]]&lt;&gt;"",ROW(Footer[[#This Row],[Column5]])-ROW($E$15),"")</f>
        <v/>
      </c>
      <c r="I40" s="2" t="str">
        <f>IF(Footer[[#This Row],[Column8]]&lt;&gt;"","XXX","")</f>
        <v/>
      </c>
      <c r="J40" s="2" t="str">
        <f>IF(Footer[[#This Row],[Column8]]&lt;&gt;"","exercise_category","")</f>
        <v/>
      </c>
      <c r="K40" s="2"/>
      <c r="L40" s="2" t="str">
        <f>IF(Footer[[#This Row],[Column11]]&lt;&gt;"","XXX","")</f>
        <v/>
      </c>
      <c r="M40" s="2" t="str">
        <f>IF(AND(Footer[[#This Row],[Column8]]&lt;&gt;"",Footer[[#This Row],[Column14]]&lt;&gt;""),"exercise_name","")</f>
        <v/>
      </c>
      <c r="N40" s="4" t="str">
        <f>IF(Footer[[#This Row],[Column8]]&lt;&gt;"",IF(VLOOKUP(Footer[[#This Row],[Column5]],Table_Exercises[],3,FALSE)="/","XXX",VLOOKUP(Footer[[#This Row],[Column5]],Table_Exercises[],3,FALSE)),"")</f>
        <v/>
      </c>
      <c r="O40" s="2" t="str">
        <f>IF(Footer[[#This Row],[Column8]]&lt;&gt;"","XXX","")</f>
        <v/>
      </c>
      <c r="P40" s="2" t="str">
        <f>IF(Footer[[#This Row],[Column9]]&lt;&gt;"","XXX","")</f>
        <v/>
      </c>
      <c r="Q40" s="2" t="str">
        <f>IF(Footer[[#This Row],[Column10]]&lt;&gt;"","XXX","")</f>
        <v/>
      </c>
      <c r="R40" s="2" t="str">
        <f>IF(Footer[[#This Row],[Column11]]&lt;&gt;"","XXX","")</f>
        <v/>
      </c>
      <c r="S40" s="2" t="str">
        <f>IF(Footer[[#This Row],[Column12]]&lt;&gt;"","XXX","")</f>
        <v/>
      </c>
      <c r="T40" s="2" t="str">
        <f>IF(Footer[[#This Row],[Column13]]&lt;&gt;"","XXX","")</f>
        <v/>
      </c>
      <c r="U40" s="2" t="str">
        <f>IF(Footer[[#This Row],[Column14]]&lt;&gt;"","XXX","")</f>
        <v/>
      </c>
      <c r="V40" s="2" t="str">
        <f>IF(Footer[[#This Row],[Column15]]&lt;&gt;"","XXX","")</f>
        <v/>
      </c>
      <c r="W40" s="2" t="str">
        <f>IF(Footer[[#This Row],[Column16]]&lt;&gt;"","XXX","")</f>
        <v/>
      </c>
      <c r="X40" s="2" t="str">
        <f>IF(Footer[[#This Row],[Column17]]&lt;&gt;"","XXX","")</f>
        <v/>
      </c>
      <c r="Y40" s="2" t="str">
        <f>IF(Footer[[#This Row],[Column18]]&lt;&gt;"","XXX","")</f>
        <v/>
      </c>
      <c r="Z40" s="2" t="str">
        <f>IF(Footer[[#This Row],[Column19]]&lt;&gt;"","XXX","")</f>
        <v/>
      </c>
      <c r="AA40" s="2" t="str">
        <f>IF(Footer[[#This Row],[Column20]]&lt;&gt;"","XXX","")</f>
        <v/>
      </c>
      <c r="AB40" s="2" t="str">
        <f>IF(Footer[[#This Row],[Column21]]&lt;&gt;"","XXX","")</f>
        <v/>
      </c>
      <c r="AC40" s="2" t="str">
        <f>IF(Footer[[#This Row],[Column22]]&lt;&gt;"","XXX","")</f>
        <v/>
      </c>
      <c r="AD40" s="2" t="str">
        <f>IF(Footer[[#This Row],[Column23]]&lt;&gt;"","XXX","")</f>
        <v/>
      </c>
      <c r="AE40" s="2" t="str">
        <f>IF(Footer[[#This Row],[Column24]]&lt;&gt;"","XXX","")</f>
        <v/>
      </c>
      <c r="AF40" s="2" t="str">
        <f>IF(Footer[[#This Row],[Column25]]&lt;&gt;"","XXX","")</f>
        <v/>
      </c>
      <c r="AG40" s="2" t="str">
        <f>IF(Footer[[#This Row],[Column26]]&lt;&gt;"","XXX","")</f>
        <v/>
      </c>
      <c r="AH40" s="2" t="str">
        <f>IF(Footer[[#This Row],[Column27]]&lt;&gt;"","XXX","")</f>
        <v/>
      </c>
      <c r="AI40" s="2" t="str">
        <f>IF(Footer[[#This Row],[Column28]]&lt;&gt;"","XXX","")</f>
        <v/>
      </c>
      <c r="AJ40" s="2" t="str">
        <f>IF(Footer[[#This Row],[Column29]]&lt;&gt;"","XXX","")</f>
        <v/>
      </c>
      <c r="AK40" s="2" t="str">
        <f>IF(Footer[[#This Row],[Column30]]&lt;&gt;"","XXX","")</f>
        <v/>
      </c>
      <c r="AL40" s="2" t="str">
        <f>IF(Footer[[#This Row],[Column31]]&lt;&gt;"","XXX","")</f>
        <v/>
      </c>
      <c r="AM40" s="2" t="str">
        <f>IF(Footer[[#This Row],[Column32]]&lt;&gt;"","XXX","")</f>
        <v/>
      </c>
      <c r="AN40" s="2" t="str">
        <f>IF(Footer[[#This Row],[Column33]]&lt;&gt;"","XXX","")</f>
        <v/>
      </c>
      <c r="AO40" s="2" t="str">
        <f>IF(Footer[[#This Row],[Column34]]&lt;&gt;"","XXX","")</f>
        <v/>
      </c>
      <c r="AP40" s="2" t="str">
        <f>IF(Footer[[#This Row],[Column35]]&lt;&gt;"","XXX","")</f>
        <v/>
      </c>
      <c r="AQ40" s="2" t="str">
        <f>IF(Footer[[#This Row],[Column36]]&lt;&gt;"","XXX","")</f>
        <v/>
      </c>
      <c r="AR40" s="2" t="str">
        <f>IF(Footer[[#This Row],[Column37]]&lt;&gt;"","XXX","")</f>
        <v/>
      </c>
      <c r="AS40" s="2" t="str">
        <f>IF(Footer[[#This Row],[Column38]]&lt;&gt;"","XXX","")</f>
        <v/>
      </c>
      <c r="AT40" s="2" t="str">
        <f>IF(Footer[[#This Row],[Column39]]&lt;&gt;"","XXX","")</f>
        <v/>
      </c>
      <c r="AU40" s="2" t="str">
        <f>IF(Footer[[#This Row],[Column40]]&lt;&gt;"","XXX","")</f>
        <v/>
      </c>
      <c r="AV40" s="2" t="str">
        <f>IF(Footer[[#This Row],[Column41]]&lt;&gt;"","XXX","")</f>
        <v/>
      </c>
      <c r="AW40" s="6" t="str">
        <f>IF(Footer[[#This Row],[Column42]]&lt;&gt;"","XXX","")</f>
        <v/>
      </c>
      <c r="AX40" s="2" t="str">
        <f>IF(Footer[[#This Row],[Column43]]&lt;&gt;"","XXX","")</f>
        <v/>
      </c>
      <c r="AY40" s="2" t="str">
        <f>IF(Footer[[#This Row],[Column44]]&lt;&gt;"","XXX","")</f>
        <v/>
      </c>
      <c r="AZ40" s="2" t="str">
        <f>IF(Footer[[#This Row],[Column45]]&lt;&gt;"","XXX","")</f>
        <v/>
      </c>
      <c r="BA40" s="2" t="str">
        <f>IF(Footer[[#This Row],[Column46]]&lt;&gt;"","XXX","")</f>
        <v/>
      </c>
      <c r="BB40" s="2" t="str">
        <f>IF(Footer[[#This Row],[Column47]]&lt;&gt;"","XXX","")</f>
        <v/>
      </c>
      <c r="BC40" s="2" t="str">
        <f>IF(Footer[[#This Row],[Column48]]&lt;&gt;"","XXX","")</f>
        <v/>
      </c>
      <c r="BD40" s="2" t="str">
        <f>IF(Footer[[#This Row],[Column49]]&lt;&gt;"","XXX","")</f>
        <v/>
      </c>
      <c r="BE40" s="2" t="str">
        <f>IF(Footer[[#This Row],[Column50]]&lt;&gt;"","XXX","")</f>
        <v/>
      </c>
      <c r="BF40" s="2" t="str">
        <f>IF(Footer[[#This Row],[Column51]]&lt;&gt;"","XXX","")</f>
        <v/>
      </c>
      <c r="BG40" s="2" t="str">
        <f>IF(Footer[[#This Row],[Column52]]&lt;&gt;"","XXX","")</f>
        <v/>
      </c>
      <c r="BH40" s="2" t="str">
        <f>IF(Footer[[#This Row],[Column53]]&lt;&gt;"","XXX","")</f>
        <v/>
      </c>
      <c r="BI40" s="2" t="str">
        <f>IF(Footer[[#This Row],[Column54]]&lt;&gt;"","XXX","")</f>
        <v/>
      </c>
      <c r="BJ40" s="6" t="str">
        <f>IF(Footer[[#This Row],[Column1]]&lt;&gt;"",SUBSTITUTE(_xlfn.TEXTJOIN(",",TRUE,Footer[[#This Row],[Column1]:[Column61]]),"XXX",""),"")</f>
        <v/>
      </c>
    </row>
    <row r="41" spans="1:62" x14ac:dyDescent="0.25">
      <c r="A41" s="2" t="str">
        <f>IF(Footer[[#This Row],[Column8]]&lt;&gt;"","Data","")</f>
        <v/>
      </c>
      <c r="B41" s="2" t="str">
        <f>IF(Footer[[#This Row],[Column8]]&lt;&gt;"","0","")</f>
        <v/>
      </c>
      <c r="C41" s="2" t="str">
        <f>IF(Footer[[#This Row],[Column8]]&lt;&gt;"","exercise_title","")</f>
        <v/>
      </c>
      <c r="D41" s="2" t="str">
        <f>IF(Footer[[#This Row],[Column8]]&lt;&gt;"","wkt_step_name","")</f>
        <v/>
      </c>
      <c r="E41" s="4" t="str" cm="1">
        <f t="array" ref="E41">IFERROR(INDEX(_xlfn.UNIQUE(_xlfn._xlws.FILTER(Data[Exercise],Data[Exercise]&lt;&gt;""),FALSE,FALSE),ROW(Footer[[#This Row],[Column5]])-ROW($E$14),1),"")</f>
        <v/>
      </c>
      <c r="F41" s="2" t="str">
        <f>IF(Footer[[#This Row],[Column5]]&lt;&gt;"","XXX","")</f>
        <v/>
      </c>
      <c r="G41" s="2" t="str">
        <f>IF(Footer[[#This Row],[Column8]]&lt;&gt;"","message_index","")</f>
        <v/>
      </c>
      <c r="H41" s="4" t="str">
        <f>IF(Footer[[#This Row],[Column5]]&lt;&gt;"",ROW(Footer[[#This Row],[Column5]])-ROW($E$15),"")</f>
        <v/>
      </c>
      <c r="I41" s="2" t="str">
        <f>IF(Footer[[#This Row],[Column8]]&lt;&gt;"","XXX","")</f>
        <v/>
      </c>
      <c r="J41" s="2" t="str">
        <f>IF(Footer[[#This Row],[Column8]]&lt;&gt;"","exercise_category","")</f>
        <v/>
      </c>
      <c r="K41" s="2"/>
      <c r="L41" s="2" t="str">
        <f>IF(Footer[[#This Row],[Column11]]&lt;&gt;"","XXX","")</f>
        <v/>
      </c>
      <c r="M41" s="2" t="str">
        <f>IF(AND(Footer[[#This Row],[Column8]]&lt;&gt;"",Footer[[#This Row],[Column14]]&lt;&gt;""),"exercise_name","")</f>
        <v/>
      </c>
      <c r="N41" s="4" t="str">
        <f>IF(Footer[[#This Row],[Column8]]&lt;&gt;"",IF(VLOOKUP(Footer[[#This Row],[Column5]],Table_Exercises[],3,FALSE)="/","XXX",VLOOKUP(Footer[[#This Row],[Column5]],Table_Exercises[],3,FALSE)),"")</f>
        <v/>
      </c>
      <c r="O41" s="2" t="str">
        <f>IF(Footer[[#This Row],[Column8]]&lt;&gt;"","XXX","")</f>
        <v/>
      </c>
      <c r="P41" s="2" t="str">
        <f>IF(Footer[[#This Row],[Column9]]&lt;&gt;"","XXX","")</f>
        <v/>
      </c>
      <c r="Q41" s="2" t="str">
        <f>IF(Footer[[#This Row],[Column10]]&lt;&gt;"","XXX","")</f>
        <v/>
      </c>
      <c r="R41" s="2" t="str">
        <f>IF(Footer[[#This Row],[Column11]]&lt;&gt;"","XXX","")</f>
        <v/>
      </c>
      <c r="S41" s="2" t="str">
        <f>IF(Footer[[#This Row],[Column12]]&lt;&gt;"","XXX","")</f>
        <v/>
      </c>
      <c r="T41" s="2" t="str">
        <f>IF(Footer[[#This Row],[Column13]]&lt;&gt;"","XXX","")</f>
        <v/>
      </c>
      <c r="U41" s="2" t="str">
        <f>IF(Footer[[#This Row],[Column14]]&lt;&gt;"","XXX","")</f>
        <v/>
      </c>
      <c r="V41" s="2" t="str">
        <f>IF(Footer[[#This Row],[Column15]]&lt;&gt;"","XXX","")</f>
        <v/>
      </c>
      <c r="W41" s="2" t="str">
        <f>IF(Footer[[#This Row],[Column16]]&lt;&gt;"","XXX","")</f>
        <v/>
      </c>
      <c r="X41" s="2" t="str">
        <f>IF(Footer[[#This Row],[Column17]]&lt;&gt;"","XXX","")</f>
        <v/>
      </c>
      <c r="Y41" s="2" t="str">
        <f>IF(Footer[[#This Row],[Column18]]&lt;&gt;"","XXX","")</f>
        <v/>
      </c>
      <c r="Z41" s="2" t="str">
        <f>IF(Footer[[#This Row],[Column19]]&lt;&gt;"","XXX","")</f>
        <v/>
      </c>
      <c r="AA41" s="2" t="str">
        <f>IF(Footer[[#This Row],[Column20]]&lt;&gt;"","XXX","")</f>
        <v/>
      </c>
      <c r="AB41" s="2" t="str">
        <f>IF(Footer[[#This Row],[Column21]]&lt;&gt;"","XXX","")</f>
        <v/>
      </c>
      <c r="AC41" s="2" t="str">
        <f>IF(Footer[[#This Row],[Column22]]&lt;&gt;"","XXX","")</f>
        <v/>
      </c>
      <c r="AD41" s="2" t="str">
        <f>IF(Footer[[#This Row],[Column23]]&lt;&gt;"","XXX","")</f>
        <v/>
      </c>
      <c r="AE41" s="2" t="str">
        <f>IF(Footer[[#This Row],[Column24]]&lt;&gt;"","XXX","")</f>
        <v/>
      </c>
      <c r="AF41" s="2" t="str">
        <f>IF(Footer[[#This Row],[Column25]]&lt;&gt;"","XXX","")</f>
        <v/>
      </c>
      <c r="AG41" s="2" t="str">
        <f>IF(Footer[[#This Row],[Column26]]&lt;&gt;"","XXX","")</f>
        <v/>
      </c>
      <c r="AH41" s="2" t="str">
        <f>IF(Footer[[#This Row],[Column27]]&lt;&gt;"","XXX","")</f>
        <v/>
      </c>
      <c r="AI41" s="2" t="str">
        <f>IF(Footer[[#This Row],[Column28]]&lt;&gt;"","XXX","")</f>
        <v/>
      </c>
      <c r="AJ41" s="2" t="str">
        <f>IF(Footer[[#This Row],[Column29]]&lt;&gt;"","XXX","")</f>
        <v/>
      </c>
      <c r="AK41" s="2" t="str">
        <f>IF(Footer[[#This Row],[Column30]]&lt;&gt;"","XXX","")</f>
        <v/>
      </c>
      <c r="AL41" s="2" t="str">
        <f>IF(Footer[[#This Row],[Column31]]&lt;&gt;"","XXX","")</f>
        <v/>
      </c>
      <c r="AM41" s="2" t="str">
        <f>IF(Footer[[#This Row],[Column32]]&lt;&gt;"","XXX","")</f>
        <v/>
      </c>
      <c r="AN41" s="2" t="str">
        <f>IF(Footer[[#This Row],[Column33]]&lt;&gt;"","XXX","")</f>
        <v/>
      </c>
      <c r="AO41" s="2" t="str">
        <f>IF(Footer[[#This Row],[Column34]]&lt;&gt;"","XXX","")</f>
        <v/>
      </c>
      <c r="AP41" s="2" t="str">
        <f>IF(Footer[[#This Row],[Column35]]&lt;&gt;"","XXX","")</f>
        <v/>
      </c>
      <c r="AQ41" s="2" t="str">
        <f>IF(Footer[[#This Row],[Column36]]&lt;&gt;"","XXX","")</f>
        <v/>
      </c>
      <c r="AR41" s="2" t="str">
        <f>IF(Footer[[#This Row],[Column37]]&lt;&gt;"","XXX","")</f>
        <v/>
      </c>
      <c r="AS41" s="2" t="str">
        <f>IF(Footer[[#This Row],[Column38]]&lt;&gt;"","XXX","")</f>
        <v/>
      </c>
      <c r="AT41" s="2" t="str">
        <f>IF(Footer[[#This Row],[Column39]]&lt;&gt;"","XXX","")</f>
        <v/>
      </c>
      <c r="AU41" s="2" t="str">
        <f>IF(Footer[[#This Row],[Column40]]&lt;&gt;"","XXX","")</f>
        <v/>
      </c>
      <c r="AV41" s="2" t="str">
        <f>IF(Footer[[#This Row],[Column41]]&lt;&gt;"","XXX","")</f>
        <v/>
      </c>
      <c r="AW41" s="6" t="str">
        <f>IF(Footer[[#This Row],[Column42]]&lt;&gt;"","XXX","")</f>
        <v/>
      </c>
      <c r="AX41" s="2" t="str">
        <f>IF(Footer[[#This Row],[Column43]]&lt;&gt;"","XXX","")</f>
        <v/>
      </c>
      <c r="AY41" s="2" t="str">
        <f>IF(Footer[[#This Row],[Column44]]&lt;&gt;"","XXX","")</f>
        <v/>
      </c>
      <c r="AZ41" s="2" t="str">
        <f>IF(Footer[[#This Row],[Column45]]&lt;&gt;"","XXX","")</f>
        <v/>
      </c>
      <c r="BA41" s="2" t="str">
        <f>IF(Footer[[#This Row],[Column46]]&lt;&gt;"","XXX","")</f>
        <v/>
      </c>
      <c r="BB41" s="2" t="str">
        <f>IF(Footer[[#This Row],[Column47]]&lt;&gt;"","XXX","")</f>
        <v/>
      </c>
      <c r="BC41" s="2" t="str">
        <f>IF(Footer[[#This Row],[Column48]]&lt;&gt;"","XXX","")</f>
        <v/>
      </c>
      <c r="BD41" s="2" t="str">
        <f>IF(Footer[[#This Row],[Column49]]&lt;&gt;"","XXX","")</f>
        <v/>
      </c>
      <c r="BE41" s="2" t="str">
        <f>IF(Footer[[#This Row],[Column50]]&lt;&gt;"","XXX","")</f>
        <v/>
      </c>
      <c r="BF41" s="2" t="str">
        <f>IF(Footer[[#This Row],[Column51]]&lt;&gt;"","XXX","")</f>
        <v/>
      </c>
      <c r="BG41" s="2" t="str">
        <f>IF(Footer[[#This Row],[Column52]]&lt;&gt;"","XXX","")</f>
        <v/>
      </c>
      <c r="BH41" s="2" t="str">
        <f>IF(Footer[[#This Row],[Column53]]&lt;&gt;"","XXX","")</f>
        <v/>
      </c>
      <c r="BI41" s="2" t="str">
        <f>IF(Footer[[#This Row],[Column54]]&lt;&gt;"","XXX","")</f>
        <v/>
      </c>
      <c r="BJ41" s="6" t="str">
        <f>IF(Footer[[#This Row],[Column1]]&lt;&gt;"",SUBSTITUTE(_xlfn.TEXTJOIN(",",TRUE,Footer[[#This Row],[Column1]:[Column61]]),"XXX",""),"")</f>
        <v/>
      </c>
    </row>
    <row r="42" spans="1:62" x14ac:dyDescent="0.25">
      <c r="A42" s="2" t="str">
        <f>IF(Footer[[#This Row],[Column8]]&lt;&gt;"","Data","")</f>
        <v/>
      </c>
      <c r="B42" s="2" t="str">
        <f>IF(Footer[[#This Row],[Column8]]&lt;&gt;"","0","")</f>
        <v/>
      </c>
      <c r="C42" s="2" t="str">
        <f>IF(Footer[[#This Row],[Column8]]&lt;&gt;"","exercise_title","")</f>
        <v/>
      </c>
      <c r="D42" s="2" t="str">
        <f>IF(Footer[[#This Row],[Column8]]&lt;&gt;"","wkt_step_name","")</f>
        <v/>
      </c>
      <c r="E42" s="4" t="str" cm="1">
        <f t="array" ref="E42">IFERROR(INDEX(_xlfn.UNIQUE(_xlfn._xlws.FILTER(Data[Exercise],Data[Exercise]&lt;&gt;""),FALSE,FALSE),ROW(Footer[[#This Row],[Column5]])-ROW($E$14),1),"")</f>
        <v/>
      </c>
      <c r="F42" s="2" t="str">
        <f>IF(Footer[[#This Row],[Column5]]&lt;&gt;"","XXX","")</f>
        <v/>
      </c>
      <c r="G42" s="2" t="str">
        <f>IF(Footer[[#This Row],[Column8]]&lt;&gt;"","message_index","")</f>
        <v/>
      </c>
      <c r="H42" s="4" t="str">
        <f>IF(Footer[[#This Row],[Column5]]&lt;&gt;"",ROW(Footer[[#This Row],[Column5]])-ROW($E$15),"")</f>
        <v/>
      </c>
      <c r="I42" s="2" t="str">
        <f>IF(Footer[[#This Row],[Column8]]&lt;&gt;"","XXX","")</f>
        <v/>
      </c>
      <c r="J42" s="2" t="str">
        <f>IF(Footer[[#This Row],[Column8]]&lt;&gt;"","exercise_category","")</f>
        <v/>
      </c>
      <c r="K42" s="2"/>
      <c r="L42" s="2" t="str">
        <f>IF(Footer[[#This Row],[Column11]]&lt;&gt;"","XXX","")</f>
        <v/>
      </c>
      <c r="M42" s="2" t="str">
        <f>IF(AND(Footer[[#This Row],[Column8]]&lt;&gt;"",Footer[[#This Row],[Column14]]&lt;&gt;""),"exercise_name","")</f>
        <v/>
      </c>
      <c r="N42" s="4" t="str">
        <f>IF(Footer[[#This Row],[Column8]]&lt;&gt;"",IF(VLOOKUP(Footer[[#This Row],[Column5]],Table_Exercises[],3,FALSE)="/","XXX",VLOOKUP(Footer[[#This Row],[Column5]],Table_Exercises[],3,FALSE)),"")</f>
        <v/>
      </c>
      <c r="O42" s="2" t="str">
        <f>IF(Footer[[#This Row],[Column8]]&lt;&gt;"","XXX","")</f>
        <v/>
      </c>
      <c r="P42" s="2" t="str">
        <f>IF(Footer[[#This Row],[Column9]]&lt;&gt;"","XXX","")</f>
        <v/>
      </c>
      <c r="Q42" s="2" t="str">
        <f>IF(Footer[[#This Row],[Column10]]&lt;&gt;"","XXX","")</f>
        <v/>
      </c>
      <c r="R42" s="2" t="str">
        <f>IF(Footer[[#This Row],[Column11]]&lt;&gt;"","XXX","")</f>
        <v/>
      </c>
      <c r="S42" s="2" t="str">
        <f>IF(Footer[[#This Row],[Column12]]&lt;&gt;"","XXX","")</f>
        <v/>
      </c>
      <c r="T42" s="2" t="str">
        <f>IF(Footer[[#This Row],[Column13]]&lt;&gt;"","XXX","")</f>
        <v/>
      </c>
      <c r="U42" s="2" t="str">
        <f>IF(Footer[[#This Row],[Column14]]&lt;&gt;"","XXX","")</f>
        <v/>
      </c>
      <c r="V42" s="2" t="str">
        <f>IF(Footer[[#This Row],[Column15]]&lt;&gt;"","XXX","")</f>
        <v/>
      </c>
      <c r="W42" s="2" t="str">
        <f>IF(Footer[[#This Row],[Column16]]&lt;&gt;"","XXX","")</f>
        <v/>
      </c>
      <c r="X42" s="2" t="str">
        <f>IF(Footer[[#This Row],[Column17]]&lt;&gt;"","XXX","")</f>
        <v/>
      </c>
      <c r="Y42" s="2" t="str">
        <f>IF(Footer[[#This Row],[Column18]]&lt;&gt;"","XXX","")</f>
        <v/>
      </c>
      <c r="Z42" s="2" t="str">
        <f>IF(Footer[[#This Row],[Column19]]&lt;&gt;"","XXX","")</f>
        <v/>
      </c>
      <c r="AA42" s="2" t="str">
        <f>IF(Footer[[#This Row],[Column20]]&lt;&gt;"","XXX","")</f>
        <v/>
      </c>
      <c r="AB42" s="2" t="str">
        <f>IF(Footer[[#This Row],[Column21]]&lt;&gt;"","XXX","")</f>
        <v/>
      </c>
      <c r="AC42" s="2" t="str">
        <f>IF(Footer[[#This Row],[Column22]]&lt;&gt;"","XXX","")</f>
        <v/>
      </c>
      <c r="AD42" s="2" t="str">
        <f>IF(Footer[[#This Row],[Column23]]&lt;&gt;"","XXX","")</f>
        <v/>
      </c>
      <c r="AE42" s="2" t="str">
        <f>IF(Footer[[#This Row],[Column24]]&lt;&gt;"","XXX","")</f>
        <v/>
      </c>
      <c r="AF42" s="2" t="str">
        <f>IF(Footer[[#This Row],[Column25]]&lt;&gt;"","XXX","")</f>
        <v/>
      </c>
      <c r="AG42" s="2" t="str">
        <f>IF(Footer[[#This Row],[Column26]]&lt;&gt;"","XXX","")</f>
        <v/>
      </c>
      <c r="AH42" s="2" t="str">
        <f>IF(Footer[[#This Row],[Column27]]&lt;&gt;"","XXX","")</f>
        <v/>
      </c>
      <c r="AI42" s="2" t="str">
        <f>IF(Footer[[#This Row],[Column28]]&lt;&gt;"","XXX","")</f>
        <v/>
      </c>
      <c r="AJ42" s="2" t="str">
        <f>IF(Footer[[#This Row],[Column29]]&lt;&gt;"","XXX","")</f>
        <v/>
      </c>
      <c r="AK42" s="2" t="str">
        <f>IF(Footer[[#This Row],[Column30]]&lt;&gt;"","XXX","")</f>
        <v/>
      </c>
      <c r="AL42" s="2" t="str">
        <f>IF(Footer[[#This Row],[Column31]]&lt;&gt;"","XXX","")</f>
        <v/>
      </c>
      <c r="AM42" s="2" t="str">
        <f>IF(Footer[[#This Row],[Column32]]&lt;&gt;"","XXX","")</f>
        <v/>
      </c>
      <c r="AN42" s="2" t="str">
        <f>IF(Footer[[#This Row],[Column33]]&lt;&gt;"","XXX","")</f>
        <v/>
      </c>
      <c r="AO42" s="2" t="str">
        <f>IF(Footer[[#This Row],[Column34]]&lt;&gt;"","XXX","")</f>
        <v/>
      </c>
      <c r="AP42" s="2" t="str">
        <f>IF(Footer[[#This Row],[Column35]]&lt;&gt;"","XXX","")</f>
        <v/>
      </c>
      <c r="AQ42" s="2" t="str">
        <f>IF(Footer[[#This Row],[Column36]]&lt;&gt;"","XXX","")</f>
        <v/>
      </c>
      <c r="AR42" s="2" t="str">
        <f>IF(Footer[[#This Row],[Column37]]&lt;&gt;"","XXX","")</f>
        <v/>
      </c>
      <c r="AS42" s="2" t="str">
        <f>IF(Footer[[#This Row],[Column38]]&lt;&gt;"","XXX","")</f>
        <v/>
      </c>
      <c r="AT42" s="2" t="str">
        <f>IF(Footer[[#This Row],[Column39]]&lt;&gt;"","XXX","")</f>
        <v/>
      </c>
      <c r="AU42" s="2" t="str">
        <f>IF(Footer[[#This Row],[Column40]]&lt;&gt;"","XXX","")</f>
        <v/>
      </c>
      <c r="AV42" s="2" t="str">
        <f>IF(Footer[[#This Row],[Column41]]&lt;&gt;"","XXX","")</f>
        <v/>
      </c>
      <c r="AW42" s="6" t="str">
        <f>IF(Footer[[#This Row],[Column42]]&lt;&gt;"","XXX","")</f>
        <v/>
      </c>
      <c r="AX42" s="2" t="str">
        <f>IF(Footer[[#This Row],[Column43]]&lt;&gt;"","XXX","")</f>
        <v/>
      </c>
      <c r="AY42" s="2" t="str">
        <f>IF(Footer[[#This Row],[Column44]]&lt;&gt;"","XXX","")</f>
        <v/>
      </c>
      <c r="AZ42" s="2" t="str">
        <f>IF(Footer[[#This Row],[Column45]]&lt;&gt;"","XXX","")</f>
        <v/>
      </c>
      <c r="BA42" s="2" t="str">
        <f>IF(Footer[[#This Row],[Column46]]&lt;&gt;"","XXX","")</f>
        <v/>
      </c>
      <c r="BB42" s="2" t="str">
        <f>IF(Footer[[#This Row],[Column47]]&lt;&gt;"","XXX","")</f>
        <v/>
      </c>
      <c r="BC42" s="2" t="str">
        <f>IF(Footer[[#This Row],[Column48]]&lt;&gt;"","XXX","")</f>
        <v/>
      </c>
      <c r="BD42" s="2" t="str">
        <f>IF(Footer[[#This Row],[Column49]]&lt;&gt;"","XXX","")</f>
        <v/>
      </c>
      <c r="BE42" s="2" t="str">
        <f>IF(Footer[[#This Row],[Column50]]&lt;&gt;"","XXX","")</f>
        <v/>
      </c>
      <c r="BF42" s="2" t="str">
        <f>IF(Footer[[#This Row],[Column51]]&lt;&gt;"","XXX","")</f>
        <v/>
      </c>
      <c r="BG42" s="2" t="str">
        <f>IF(Footer[[#This Row],[Column52]]&lt;&gt;"","XXX","")</f>
        <v/>
      </c>
      <c r="BH42" s="2" t="str">
        <f>IF(Footer[[#This Row],[Column53]]&lt;&gt;"","XXX","")</f>
        <v/>
      </c>
      <c r="BI42" s="2" t="str">
        <f>IF(Footer[[#This Row],[Column54]]&lt;&gt;"","XXX","")</f>
        <v/>
      </c>
      <c r="BJ42" s="6" t="str">
        <f>IF(Footer[[#This Row],[Column1]]&lt;&gt;"",SUBSTITUTE(_xlfn.TEXTJOIN(",",TRUE,Footer[[#This Row],[Column1]:[Column61]]),"XXX",""),"")</f>
        <v/>
      </c>
    </row>
    <row r="43" spans="1:62" x14ac:dyDescent="0.25">
      <c r="A43" s="2" t="str">
        <f>IF(Footer[[#This Row],[Column8]]&lt;&gt;"","Data","")</f>
        <v/>
      </c>
      <c r="B43" s="2" t="str">
        <f>IF(Footer[[#This Row],[Column8]]&lt;&gt;"","0","")</f>
        <v/>
      </c>
      <c r="C43" s="2" t="str">
        <f>IF(Footer[[#This Row],[Column8]]&lt;&gt;"","exercise_title","")</f>
        <v/>
      </c>
      <c r="D43" s="2" t="str">
        <f>IF(Footer[[#This Row],[Column8]]&lt;&gt;"","wkt_step_name","")</f>
        <v/>
      </c>
      <c r="E43" s="4" t="str" cm="1">
        <f t="array" ref="E43">IFERROR(INDEX(_xlfn.UNIQUE(_xlfn._xlws.FILTER(Data[Exercise],Data[Exercise]&lt;&gt;""),FALSE,FALSE),ROW(Footer[[#This Row],[Column5]])-ROW($E$14),1),"")</f>
        <v/>
      </c>
      <c r="F43" s="2" t="str">
        <f>IF(Footer[[#This Row],[Column5]]&lt;&gt;"","XXX","")</f>
        <v/>
      </c>
      <c r="G43" s="2" t="str">
        <f>IF(Footer[[#This Row],[Column8]]&lt;&gt;"","message_index","")</f>
        <v/>
      </c>
      <c r="H43" s="4" t="str">
        <f>IF(Footer[[#This Row],[Column5]]&lt;&gt;"",ROW(Footer[[#This Row],[Column5]])-ROW($E$15),"")</f>
        <v/>
      </c>
      <c r="I43" s="2" t="str">
        <f>IF(Footer[[#This Row],[Column8]]&lt;&gt;"","XXX","")</f>
        <v/>
      </c>
      <c r="J43" s="2" t="str">
        <f>IF(Footer[[#This Row],[Column8]]&lt;&gt;"","exercise_category","")</f>
        <v/>
      </c>
      <c r="K43" s="2"/>
      <c r="L43" s="2" t="str">
        <f>IF(Footer[[#This Row],[Column11]]&lt;&gt;"","XXX","")</f>
        <v/>
      </c>
      <c r="M43" s="2" t="str">
        <f>IF(AND(Footer[[#This Row],[Column8]]&lt;&gt;"",Footer[[#This Row],[Column14]]&lt;&gt;""),"exercise_name","")</f>
        <v/>
      </c>
      <c r="N43" s="4" t="str">
        <f>IF(Footer[[#This Row],[Column8]]&lt;&gt;"",IF(VLOOKUP(Footer[[#This Row],[Column5]],Table_Exercises[],3,FALSE)="/","XXX",VLOOKUP(Footer[[#This Row],[Column5]],Table_Exercises[],3,FALSE)),"")</f>
        <v/>
      </c>
      <c r="O43" s="2" t="str">
        <f>IF(Footer[[#This Row],[Column8]]&lt;&gt;"","XXX","")</f>
        <v/>
      </c>
      <c r="P43" s="2" t="str">
        <f>IF(Footer[[#This Row],[Column9]]&lt;&gt;"","XXX","")</f>
        <v/>
      </c>
      <c r="Q43" s="2" t="str">
        <f>IF(Footer[[#This Row],[Column10]]&lt;&gt;"","XXX","")</f>
        <v/>
      </c>
      <c r="R43" s="2" t="str">
        <f>IF(Footer[[#This Row],[Column11]]&lt;&gt;"","XXX","")</f>
        <v/>
      </c>
      <c r="S43" s="2" t="str">
        <f>IF(Footer[[#This Row],[Column12]]&lt;&gt;"","XXX","")</f>
        <v/>
      </c>
      <c r="T43" s="2" t="str">
        <f>IF(Footer[[#This Row],[Column13]]&lt;&gt;"","XXX","")</f>
        <v/>
      </c>
      <c r="U43" s="2" t="str">
        <f>IF(Footer[[#This Row],[Column14]]&lt;&gt;"","XXX","")</f>
        <v/>
      </c>
      <c r="V43" s="2" t="str">
        <f>IF(Footer[[#This Row],[Column15]]&lt;&gt;"","XXX","")</f>
        <v/>
      </c>
      <c r="W43" s="2" t="str">
        <f>IF(Footer[[#This Row],[Column16]]&lt;&gt;"","XXX","")</f>
        <v/>
      </c>
      <c r="X43" s="2" t="str">
        <f>IF(Footer[[#This Row],[Column17]]&lt;&gt;"","XXX","")</f>
        <v/>
      </c>
      <c r="Y43" s="2" t="str">
        <f>IF(Footer[[#This Row],[Column18]]&lt;&gt;"","XXX","")</f>
        <v/>
      </c>
      <c r="Z43" s="2" t="str">
        <f>IF(Footer[[#This Row],[Column19]]&lt;&gt;"","XXX","")</f>
        <v/>
      </c>
      <c r="AA43" s="2" t="str">
        <f>IF(Footer[[#This Row],[Column20]]&lt;&gt;"","XXX","")</f>
        <v/>
      </c>
      <c r="AB43" s="2" t="str">
        <f>IF(Footer[[#This Row],[Column21]]&lt;&gt;"","XXX","")</f>
        <v/>
      </c>
      <c r="AC43" s="2" t="str">
        <f>IF(Footer[[#This Row],[Column22]]&lt;&gt;"","XXX","")</f>
        <v/>
      </c>
      <c r="AD43" s="2" t="str">
        <f>IF(Footer[[#This Row],[Column23]]&lt;&gt;"","XXX","")</f>
        <v/>
      </c>
      <c r="AE43" s="2" t="str">
        <f>IF(Footer[[#This Row],[Column24]]&lt;&gt;"","XXX","")</f>
        <v/>
      </c>
      <c r="AF43" s="2" t="str">
        <f>IF(Footer[[#This Row],[Column25]]&lt;&gt;"","XXX","")</f>
        <v/>
      </c>
      <c r="AG43" s="2" t="str">
        <f>IF(Footer[[#This Row],[Column26]]&lt;&gt;"","XXX","")</f>
        <v/>
      </c>
      <c r="AH43" s="2" t="str">
        <f>IF(Footer[[#This Row],[Column27]]&lt;&gt;"","XXX","")</f>
        <v/>
      </c>
      <c r="AI43" s="2" t="str">
        <f>IF(Footer[[#This Row],[Column28]]&lt;&gt;"","XXX","")</f>
        <v/>
      </c>
      <c r="AJ43" s="2" t="str">
        <f>IF(Footer[[#This Row],[Column29]]&lt;&gt;"","XXX","")</f>
        <v/>
      </c>
      <c r="AK43" s="2" t="str">
        <f>IF(Footer[[#This Row],[Column30]]&lt;&gt;"","XXX","")</f>
        <v/>
      </c>
      <c r="AL43" s="2" t="str">
        <f>IF(Footer[[#This Row],[Column31]]&lt;&gt;"","XXX","")</f>
        <v/>
      </c>
      <c r="AM43" s="2" t="str">
        <f>IF(Footer[[#This Row],[Column32]]&lt;&gt;"","XXX","")</f>
        <v/>
      </c>
      <c r="AN43" s="2" t="str">
        <f>IF(Footer[[#This Row],[Column33]]&lt;&gt;"","XXX","")</f>
        <v/>
      </c>
      <c r="AO43" s="2" t="str">
        <f>IF(Footer[[#This Row],[Column34]]&lt;&gt;"","XXX","")</f>
        <v/>
      </c>
      <c r="AP43" s="2" t="str">
        <f>IF(Footer[[#This Row],[Column35]]&lt;&gt;"","XXX","")</f>
        <v/>
      </c>
      <c r="AQ43" s="2" t="str">
        <f>IF(Footer[[#This Row],[Column36]]&lt;&gt;"","XXX","")</f>
        <v/>
      </c>
      <c r="AR43" s="2" t="str">
        <f>IF(Footer[[#This Row],[Column37]]&lt;&gt;"","XXX","")</f>
        <v/>
      </c>
      <c r="AS43" s="2" t="str">
        <f>IF(Footer[[#This Row],[Column38]]&lt;&gt;"","XXX","")</f>
        <v/>
      </c>
      <c r="AT43" s="2" t="str">
        <f>IF(Footer[[#This Row],[Column39]]&lt;&gt;"","XXX","")</f>
        <v/>
      </c>
      <c r="AU43" s="2" t="str">
        <f>IF(Footer[[#This Row],[Column40]]&lt;&gt;"","XXX","")</f>
        <v/>
      </c>
      <c r="AV43" s="2" t="str">
        <f>IF(Footer[[#This Row],[Column41]]&lt;&gt;"","XXX","")</f>
        <v/>
      </c>
      <c r="AW43" s="6" t="str">
        <f>IF(Footer[[#This Row],[Column42]]&lt;&gt;"","XXX","")</f>
        <v/>
      </c>
      <c r="AX43" s="2" t="str">
        <f>IF(Footer[[#This Row],[Column43]]&lt;&gt;"","XXX","")</f>
        <v/>
      </c>
      <c r="AY43" s="2" t="str">
        <f>IF(Footer[[#This Row],[Column44]]&lt;&gt;"","XXX","")</f>
        <v/>
      </c>
      <c r="AZ43" s="2" t="str">
        <f>IF(Footer[[#This Row],[Column45]]&lt;&gt;"","XXX","")</f>
        <v/>
      </c>
      <c r="BA43" s="2" t="str">
        <f>IF(Footer[[#This Row],[Column46]]&lt;&gt;"","XXX","")</f>
        <v/>
      </c>
      <c r="BB43" s="2" t="str">
        <f>IF(Footer[[#This Row],[Column47]]&lt;&gt;"","XXX","")</f>
        <v/>
      </c>
      <c r="BC43" s="2" t="str">
        <f>IF(Footer[[#This Row],[Column48]]&lt;&gt;"","XXX","")</f>
        <v/>
      </c>
      <c r="BD43" s="2" t="str">
        <f>IF(Footer[[#This Row],[Column49]]&lt;&gt;"","XXX","")</f>
        <v/>
      </c>
      <c r="BE43" s="2" t="str">
        <f>IF(Footer[[#This Row],[Column50]]&lt;&gt;"","XXX","")</f>
        <v/>
      </c>
      <c r="BF43" s="2" t="str">
        <f>IF(Footer[[#This Row],[Column51]]&lt;&gt;"","XXX","")</f>
        <v/>
      </c>
      <c r="BG43" s="2" t="str">
        <f>IF(Footer[[#This Row],[Column52]]&lt;&gt;"","XXX","")</f>
        <v/>
      </c>
      <c r="BH43" s="2" t="str">
        <f>IF(Footer[[#This Row],[Column53]]&lt;&gt;"","XXX","")</f>
        <v/>
      </c>
      <c r="BI43" s="2" t="str">
        <f>IF(Footer[[#This Row],[Column54]]&lt;&gt;"","XXX","")</f>
        <v/>
      </c>
      <c r="BJ43" s="6" t="str">
        <f>IF(Footer[[#This Row],[Column1]]&lt;&gt;"",SUBSTITUTE(_xlfn.TEXTJOIN(",",TRUE,Footer[[#This Row],[Column1]:[Column61]]),"XXX",""),"")</f>
        <v/>
      </c>
    </row>
    <row r="44" spans="1:62" x14ac:dyDescent="0.25">
      <c r="A44" s="2" t="str">
        <f>IF(Footer[[#This Row],[Column8]]&lt;&gt;"","Data","")</f>
        <v/>
      </c>
      <c r="B44" s="2" t="str">
        <f>IF(Footer[[#This Row],[Column8]]&lt;&gt;"","0","")</f>
        <v/>
      </c>
      <c r="C44" s="2" t="str">
        <f>IF(Footer[[#This Row],[Column8]]&lt;&gt;"","exercise_title","")</f>
        <v/>
      </c>
      <c r="D44" s="2" t="str">
        <f>IF(Footer[[#This Row],[Column8]]&lt;&gt;"","wkt_step_name","")</f>
        <v/>
      </c>
      <c r="E44" s="4" t="str" cm="1">
        <f t="array" ref="E44">IFERROR(INDEX(_xlfn.UNIQUE(_xlfn._xlws.FILTER(Data[Exercise],Data[Exercise]&lt;&gt;""),FALSE,FALSE),ROW(Footer[[#This Row],[Column5]])-ROW($E$14),1),"")</f>
        <v/>
      </c>
      <c r="F44" s="2" t="str">
        <f>IF(Footer[[#This Row],[Column5]]&lt;&gt;"","XXX","")</f>
        <v/>
      </c>
      <c r="G44" s="2" t="str">
        <f>IF(Footer[[#This Row],[Column8]]&lt;&gt;"","message_index","")</f>
        <v/>
      </c>
      <c r="H44" s="4" t="str">
        <f>IF(Footer[[#This Row],[Column5]]&lt;&gt;"",ROW(Footer[[#This Row],[Column5]])-ROW($E$15),"")</f>
        <v/>
      </c>
      <c r="I44" s="2" t="str">
        <f>IF(Footer[[#This Row],[Column8]]&lt;&gt;"","XXX","")</f>
        <v/>
      </c>
      <c r="J44" s="2" t="str">
        <f>IF(Footer[[#This Row],[Column8]]&lt;&gt;"","exercise_category","")</f>
        <v/>
      </c>
      <c r="K44" s="2"/>
      <c r="L44" s="2" t="str">
        <f>IF(Footer[[#This Row],[Column11]]&lt;&gt;"","XXX","")</f>
        <v/>
      </c>
      <c r="M44" s="2" t="str">
        <f>IF(AND(Footer[[#This Row],[Column8]]&lt;&gt;"",Footer[[#This Row],[Column14]]&lt;&gt;""),"exercise_name","")</f>
        <v/>
      </c>
      <c r="N44" s="4" t="str">
        <f>IF(Footer[[#This Row],[Column8]]&lt;&gt;"",IF(VLOOKUP(Footer[[#This Row],[Column5]],Table_Exercises[],3,FALSE)="/","XXX",VLOOKUP(Footer[[#This Row],[Column5]],Table_Exercises[],3,FALSE)),"")</f>
        <v/>
      </c>
      <c r="O44" s="2" t="str">
        <f>IF(Footer[[#This Row],[Column8]]&lt;&gt;"","XXX","")</f>
        <v/>
      </c>
      <c r="P44" s="2" t="str">
        <f>IF(Footer[[#This Row],[Column9]]&lt;&gt;"","XXX","")</f>
        <v/>
      </c>
      <c r="Q44" s="2" t="str">
        <f>IF(Footer[[#This Row],[Column10]]&lt;&gt;"","XXX","")</f>
        <v/>
      </c>
      <c r="R44" s="2" t="str">
        <f>IF(Footer[[#This Row],[Column11]]&lt;&gt;"","XXX","")</f>
        <v/>
      </c>
      <c r="S44" s="2" t="str">
        <f>IF(Footer[[#This Row],[Column12]]&lt;&gt;"","XXX","")</f>
        <v/>
      </c>
      <c r="T44" s="2" t="str">
        <f>IF(Footer[[#This Row],[Column13]]&lt;&gt;"","XXX","")</f>
        <v/>
      </c>
      <c r="U44" s="2" t="str">
        <f>IF(Footer[[#This Row],[Column14]]&lt;&gt;"","XXX","")</f>
        <v/>
      </c>
      <c r="V44" s="2" t="str">
        <f>IF(Footer[[#This Row],[Column15]]&lt;&gt;"","XXX","")</f>
        <v/>
      </c>
      <c r="W44" s="2" t="str">
        <f>IF(Footer[[#This Row],[Column16]]&lt;&gt;"","XXX","")</f>
        <v/>
      </c>
      <c r="X44" s="2" t="str">
        <f>IF(Footer[[#This Row],[Column17]]&lt;&gt;"","XXX","")</f>
        <v/>
      </c>
      <c r="Y44" s="2" t="str">
        <f>IF(Footer[[#This Row],[Column18]]&lt;&gt;"","XXX","")</f>
        <v/>
      </c>
      <c r="Z44" s="2" t="str">
        <f>IF(Footer[[#This Row],[Column19]]&lt;&gt;"","XXX","")</f>
        <v/>
      </c>
      <c r="AA44" s="2" t="str">
        <f>IF(Footer[[#This Row],[Column20]]&lt;&gt;"","XXX","")</f>
        <v/>
      </c>
      <c r="AB44" s="2" t="str">
        <f>IF(Footer[[#This Row],[Column21]]&lt;&gt;"","XXX","")</f>
        <v/>
      </c>
      <c r="AC44" s="2" t="str">
        <f>IF(Footer[[#This Row],[Column22]]&lt;&gt;"","XXX","")</f>
        <v/>
      </c>
      <c r="AD44" s="2" t="str">
        <f>IF(Footer[[#This Row],[Column23]]&lt;&gt;"","XXX","")</f>
        <v/>
      </c>
      <c r="AE44" s="2" t="str">
        <f>IF(Footer[[#This Row],[Column24]]&lt;&gt;"","XXX","")</f>
        <v/>
      </c>
      <c r="AF44" s="2" t="str">
        <f>IF(Footer[[#This Row],[Column25]]&lt;&gt;"","XXX","")</f>
        <v/>
      </c>
      <c r="AG44" s="2" t="str">
        <f>IF(Footer[[#This Row],[Column26]]&lt;&gt;"","XXX","")</f>
        <v/>
      </c>
      <c r="AH44" s="2" t="str">
        <f>IF(Footer[[#This Row],[Column27]]&lt;&gt;"","XXX","")</f>
        <v/>
      </c>
      <c r="AI44" s="2" t="str">
        <f>IF(Footer[[#This Row],[Column28]]&lt;&gt;"","XXX","")</f>
        <v/>
      </c>
      <c r="AJ44" s="2" t="str">
        <f>IF(Footer[[#This Row],[Column29]]&lt;&gt;"","XXX","")</f>
        <v/>
      </c>
      <c r="AK44" s="2" t="str">
        <f>IF(Footer[[#This Row],[Column30]]&lt;&gt;"","XXX","")</f>
        <v/>
      </c>
      <c r="AL44" s="2" t="str">
        <f>IF(Footer[[#This Row],[Column31]]&lt;&gt;"","XXX","")</f>
        <v/>
      </c>
      <c r="AM44" s="2" t="str">
        <f>IF(Footer[[#This Row],[Column32]]&lt;&gt;"","XXX","")</f>
        <v/>
      </c>
      <c r="AN44" s="2" t="str">
        <f>IF(Footer[[#This Row],[Column33]]&lt;&gt;"","XXX","")</f>
        <v/>
      </c>
      <c r="AO44" s="2" t="str">
        <f>IF(Footer[[#This Row],[Column34]]&lt;&gt;"","XXX","")</f>
        <v/>
      </c>
      <c r="AP44" s="2" t="str">
        <f>IF(Footer[[#This Row],[Column35]]&lt;&gt;"","XXX","")</f>
        <v/>
      </c>
      <c r="AQ44" s="2" t="str">
        <f>IF(Footer[[#This Row],[Column36]]&lt;&gt;"","XXX","")</f>
        <v/>
      </c>
      <c r="AR44" s="2" t="str">
        <f>IF(Footer[[#This Row],[Column37]]&lt;&gt;"","XXX","")</f>
        <v/>
      </c>
      <c r="AS44" s="2" t="str">
        <f>IF(Footer[[#This Row],[Column38]]&lt;&gt;"","XXX","")</f>
        <v/>
      </c>
      <c r="AT44" s="2" t="str">
        <f>IF(Footer[[#This Row],[Column39]]&lt;&gt;"","XXX","")</f>
        <v/>
      </c>
      <c r="AU44" s="2" t="str">
        <f>IF(Footer[[#This Row],[Column40]]&lt;&gt;"","XXX","")</f>
        <v/>
      </c>
      <c r="AV44" s="2" t="str">
        <f>IF(Footer[[#This Row],[Column41]]&lt;&gt;"","XXX","")</f>
        <v/>
      </c>
      <c r="AW44" s="6" t="str">
        <f>IF(Footer[[#This Row],[Column42]]&lt;&gt;"","XXX","")</f>
        <v/>
      </c>
      <c r="AX44" s="2" t="str">
        <f>IF(Footer[[#This Row],[Column43]]&lt;&gt;"","XXX","")</f>
        <v/>
      </c>
      <c r="AY44" s="2" t="str">
        <f>IF(Footer[[#This Row],[Column44]]&lt;&gt;"","XXX","")</f>
        <v/>
      </c>
      <c r="AZ44" s="2" t="str">
        <f>IF(Footer[[#This Row],[Column45]]&lt;&gt;"","XXX","")</f>
        <v/>
      </c>
      <c r="BA44" s="2" t="str">
        <f>IF(Footer[[#This Row],[Column46]]&lt;&gt;"","XXX","")</f>
        <v/>
      </c>
      <c r="BB44" s="2" t="str">
        <f>IF(Footer[[#This Row],[Column47]]&lt;&gt;"","XXX","")</f>
        <v/>
      </c>
      <c r="BC44" s="2" t="str">
        <f>IF(Footer[[#This Row],[Column48]]&lt;&gt;"","XXX","")</f>
        <v/>
      </c>
      <c r="BD44" s="2" t="str">
        <f>IF(Footer[[#This Row],[Column49]]&lt;&gt;"","XXX","")</f>
        <v/>
      </c>
      <c r="BE44" s="2" t="str">
        <f>IF(Footer[[#This Row],[Column50]]&lt;&gt;"","XXX","")</f>
        <v/>
      </c>
      <c r="BF44" s="2" t="str">
        <f>IF(Footer[[#This Row],[Column51]]&lt;&gt;"","XXX","")</f>
        <v/>
      </c>
      <c r="BG44" s="2" t="str">
        <f>IF(Footer[[#This Row],[Column52]]&lt;&gt;"","XXX","")</f>
        <v/>
      </c>
      <c r="BH44" s="2" t="str">
        <f>IF(Footer[[#This Row],[Column53]]&lt;&gt;"","XXX","")</f>
        <v/>
      </c>
      <c r="BI44" s="2" t="str">
        <f>IF(Footer[[#This Row],[Column54]]&lt;&gt;"","XXX","")</f>
        <v/>
      </c>
      <c r="BJ44" s="6" t="str">
        <f>IF(Footer[[#This Row],[Column1]]&lt;&gt;"",SUBSTITUTE(_xlfn.TEXTJOIN(",",TRUE,Footer[[#This Row],[Column1]:[Column61]]),"XXX",""),"")</f>
        <v/>
      </c>
    </row>
    <row r="45" spans="1:62" x14ac:dyDescent="0.25">
      <c r="A45" s="2" t="str">
        <f>IF(Footer[[#This Row],[Column8]]&lt;&gt;"","Data","")</f>
        <v/>
      </c>
      <c r="B45" s="2" t="str">
        <f>IF(Footer[[#This Row],[Column8]]&lt;&gt;"","0","")</f>
        <v/>
      </c>
      <c r="C45" s="2" t="str">
        <f>IF(Footer[[#This Row],[Column8]]&lt;&gt;"","exercise_title","")</f>
        <v/>
      </c>
      <c r="D45" s="2" t="str">
        <f>IF(Footer[[#This Row],[Column8]]&lt;&gt;"","wkt_step_name","")</f>
        <v/>
      </c>
      <c r="E45" s="4" t="str" cm="1">
        <f t="array" ref="E45">IFERROR(INDEX(_xlfn.UNIQUE(_xlfn._xlws.FILTER(Data[Exercise],Data[Exercise]&lt;&gt;""),FALSE,FALSE),ROW(Footer[[#This Row],[Column5]])-ROW($E$14),1),"")</f>
        <v/>
      </c>
      <c r="F45" s="2" t="str">
        <f>IF(Footer[[#This Row],[Column5]]&lt;&gt;"","XXX","")</f>
        <v/>
      </c>
      <c r="G45" s="2" t="str">
        <f>IF(Footer[[#This Row],[Column8]]&lt;&gt;"","message_index","")</f>
        <v/>
      </c>
      <c r="H45" s="4" t="str">
        <f>IF(Footer[[#This Row],[Column5]]&lt;&gt;"",ROW(Footer[[#This Row],[Column5]])-ROW($E$15),"")</f>
        <v/>
      </c>
      <c r="I45" s="2" t="str">
        <f>IF(Footer[[#This Row],[Column8]]&lt;&gt;"","XXX","")</f>
        <v/>
      </c>
      <c r="J45" s="2" t="str">
        <f>IF(Footer[[#This Row],[Column8]]&lt;&gt;"","exercise_category","")</f>
        <v/>
      </c>
      <c r="K45" s="2"/>
      <c r="L45" s="2" t="str">
        <f>IF(Footer[[#This Row],[Column11]]&lt;&gt;"","XXX","")</f>
        <v/>
      </c>
      <c r="M45" s="2" t="str">
        <f>IF(AND(Footer[[#This Row],[Column8]]&lt;&gt;"",Footer[[#This Row],[Column14]]&lt;&gt;""),"exercise_name","")</f>
        <v/>
      </c>
      <c r="N45" s="4" t="str">
        <f>IF(Footer[[#This Row],[Column8]]&lt;&gt;"",IF(VLOOKUP(Footer[[#This Row],[Column5]],Table_Exercises[],3,FALSE)="/","XXX",VLOOKUP(Footer[[#This Row],[Column5]],Table_Exercises[],3,FALSE)),"")</f>
        <v/>
      </c>
      <c r="O45" s="2" t="str">
        <f>IF(Footer[[#This Row],[Column8]]&lt;&gt;"","XXX","")</f>
        <v/>
      </c>
      <c r="P45" s="2" t="str">
        <f>IF(Footer[[#This Row],[Column9]]&lt;&gt;"","XXX","")</f>
        <v/>
      </c>
      <c r="Q45" s="2" t="str">
        <f>IF(Footer[[#This Row],[Column10]]&lt;&gt;"","XXX","")</f>
        <v/>
      </c>
      <c r="R45" s="2" t="str">
        <f>IF(Footer[[#This Row],[Column11]]&lt;&gt;"","XXX","")</f>
        <v/>
      </c>
      <c r="S45" s="2" t="str">
        <f>IF(Footer[[#This Row],[Column12]]&lt;&gt;"","XXX","")</f>
        <v/>
      </c>
      <c r="T45" s="2" t="str">
        <f>IF(Footer[[#This Row],[Column13]]&lt;&gt;"","XXX","")</f>
        <v/>
      </c>
      <c r="U45" s="2" t="str">
        <f>IF(Footer[[#This Row],[Column14]]&lt;&gt;"","XXX","")</f>
        <v/>
      </c>
      <c r="V45" s="2" t="str">
        <f>IF(Footer[[#This Row],[Column15]]&lt;&gt;"","XXX","")</f>
        <v/>
      </c>
      <c r="W45" s="2" t="str">
        <f>IF(Footer[[#This Row],[Column16]]&lt;&gt;"","XXX","")</f>
        <v/>
      </c>
      <c r="X45" s="2" t="str">
        <f>IF(Footer[[#This Row],[Column17]]&lt;&gt;"","XXX","")</f>
        <v/>
      </c>
      <c r="Y45" s="2" t="str">
        <f>IF(Footer[[#This Row],[Column18]]&lt;&gt;"","XXX","")</f>
        <v/>
      </c>
      <c r="Z45" s="2" t="str">
        <f>IF(Footer[[#This Row],[Column19]]&lt;&gt;"","XXX","")</f>
        <v/>
      </c>
      <c r="AA45" s="2" t="str">
        <f>IF(Footer[[#This Row],[Column20]]&lt;&gt;"","XXX","")</f>
        <v/>
      </c>
      <c r="AB45" s="2" t="str">
        <f>IF(Footer[[#This Row],[Column21]]&lt;&gt;"","XXX","")</f>
        <v/>
      </c>
      <c r="AC45" s="2" t="str">
        <f>IF(Footer[[#This Row],[Column22]]&lt;&gt;"","XXX","")</f>
        <v/>
      </c>
      <c r="AD45" s="2" t="str">
        <f>IF(Footer[[#This Row],[Column23]]&lt;&gt;"","XXX","")</f>
        <v/>
      </c>
      <c r="AE45" s="2" t="str">
        <f>IF(Footer[[#This Row],[Column24]]&lt;&gt;"","XXX","")</f>
        <v/>
      </c>
      <c r="AF45" s="2" t="str">
        <f>IF(Footer[[#This Row],[Column25]]&lt;&gt;"","XXX","")</f>
        <v/>
      </c>
      <c r="AG45" s="2" t="str">
        <f>IF(Footer[[#This Row],[Column26]]&lt;&gt;"","XXX","")</f>
        <v/>
      </c>
      <c r="AH45" s="2" t="str">
        <f>IF(Footer[[#This Row],[Column27]]&lt;&gt;"","XXX","")</f>
        <v/>
      </c>
      <c r="AI45" s="2" t="str">
        <f>IF(Footer[[#This Row],[Column28]]&lt;&gt;"","XXX","")</f>
        <v/>
      </c>
      <c r="AJ45" s="2" t="str">
        <f>IF(Footer[[#This Row],[Column29]]&lt;&gt;"","XXX","")</f>
        <v/>
      </c>
      <c r="AK45" s="2" t="str">
        <f>IF(Footer[[#This Row],[Column30]]&lt;&gt;"","XXX","")</f>
        <v/>
      </c>
      <c r="AL45" s="2" t="str">
        <f>IF(Footer[[#This Row],[Column31]]&lt;&gt;"","XXX","")</f>
        <v/>
      </c>
      <c r="AM45" s="2" t="str">
        <f>IF(Footer[[#This Row],[Column32]]&lt;&gt;"","XXX","")</f>
        <v/>
      </c>
      <c r="AN45" s="2" t="str">
        <f>IF(Footer[[#This Row],[Column33]]&lt;&gt;"","XXX","")</f>
        <v/>
      </c>
      <c r="AO45" s="2" t="str">
        <f>IF(Footer[[#This Row],[Column34]]&lt;&gt;"","XXX","")</f>
        <v/>
      </c>
      <c r="AP45" s="2" t="str">
        <f>IF(Footer[[#This Row],[Column35]]&lt;&gt;"","XXX","")</f>
        <v/>
      </c>
      <c r="AQ45" s="2" t="str">
        <f>IF(Footer[[#This Row],[Column36]]&lt;&gt;"","XXX","")</f>
        <v/>
      </c>
      <c r="AR45" s="2" t="str">
        <f>IF(Footer[[#This Row],[Column37]]&lt;&gt;"","XXX","")</f>
        <v/>
      </c>
      <c r="AS45" s="2" t="str">
        <f>IF(Footer[[#This Row],[Column38]]&lt;&gt;"","XXX","")</f>
        <v/>
      </c>
      <c r="AT45" s="2" t="str">
        <f>IF(Footer[[#This Row],[Column39]]&lt;&gt;"","XXX","")</f>
        <v/>
      </c>
      <c r="AU45" s="2" t="str">
        <f>IF(Footer[[#This Row],[Column40]]&lt;&gt;"","XXX","")</f>
        <v/>
      </c>
      <c r="AV45" s="2" t="str">
        <f>IF(Footer[[#This Row],[Column41]]&lt;&gt;"","XXX","")</f>
        <v/>
      </c>
      <c r="AW45" s="6" t="str">
        <f>IF(Footer[[#This Row],[Column42]]&lt;&gt;"","XXX","")</f>
        <v/>
      </c>
      <c r="AX45" s="2" t="str">
        <f>IF(Footer[[#This Row],[Column43]]&lt;&gt;"","XXX","")</f>
        <v/>
      </c>
      <c r="AY45" s="2" t="str">
        <f>IF(Footer[[#This Row],[Column44]]&lt;&gt;"","XXX","")</f>
        <v/>
      </c>
      <c r="AZ45" s="2" t="str">
        <f>IF(Footer[[#This Row],[Column45]]&lt;&gt;"","XXX","")</f>
        <v/>
      </c>
      <c r="BA45" s="2" t="str">
        <f>IF(Footer[[#This Row],[Column46]]&lt;&gt;"","XXX","")</f>
        <v/>
      </c>
      <c r="BB45" s="2" t="str">
        <f>IF(Footer[[#This Row],[Column47]]&lt;&gt;"","XXX","")</f>
        <v/>
      </c>
      <c r="BC45" s="2" t="str">
        <f>IF(Footer[[#This Row],[Column48]]&lt;&gt;"","XXX","")</f>
        <v/>
      </c>
      <c r="BD45" s="2" t="str">
        <f>IF(Footer[[#This Row],[Column49]]&lt;&gt;"","XXX","")</f>
        <v/>
      </c>
      <c r="BE45" s="2" t="str">
        <f>IF(Footer[[#This Row],[Column50]]&lt;&gt;"","XXX","")</f>
        <v/>
      </c>
      <c r="BF45" s="2" t="str">
        <f>IF(Footer[[#This Row],[Column51]]&lt;&gt;"","XXX","")</f>
        <v/>
      </c>
      <c r="BG45" s="2" t="str">
        <f>IF(Footer[[#This Row],[Column52]]&lt;&gt;"","XXX","")</f>
        <v/>
      </c>
      <c r="BH45" s="2" t="str">
        <f>IF(Footer[[#This Row],[Column53]]&lt;&gt;"","XXX","")</f>
        <v/>
      </c>
      <c r="BI45" s="2" t="str">
        <f>IF(Footer[[#This Row],[Column54]]&lt;&gt;"","XXX","")</f>
        <v/>
      </c>
      <c r="BJ45" s="6" t="str">
        <f>IF(Footer[[#This Row],[Column1]]&lt;&gt;"",SUBSTITUTE(_xlfn.TEXTJOIN(",",TRUE,Footer[[#This Row],[Column1]:[Column61]]),"XXX",""),"")</f>
        <v/>
      </c>
    </row>
    <row r="46" spans="1:62" x14ac:dyDescent="0.25">
      <c r="A46" s="2" t="str">
        <f>IF(Footer[[#This Row],[Column8]]&lt;&gt;"","Data","")</f>
        <v/>
      </c>
      <c r="B46" s="2" t="str">
        <f>IF(Footer[[#This Row],[Column8]]&lt;&gt;"","0","")</f>
        <v/>
      </c>
      <c r="C46" s="2" t="str">
        <f>IF(Footer[[#This Row],[Column8]]&lt;&gt;"","exercise_title","")</f>
        <v/>
      </c>
      <c r="D46" s="2" t="str">
        <f>IF(Footer[[#This Row],[Column8]]&lt;&gt;"","wkt_step_name","")</f>
        <v/>
      </c>
      <c r="E46" s="4" t="str" cm="1">
        <f t="array" ref="E46">IFERROR(INDEX(_xlfn.UNIQUE(_xlfn._xlws.FILTER(Data[Exercise],Data[Exercise]&lt;&gt;""),FALSE,FALSE),ROW(Footer[[#This Row],[Column5]])-ROW($E$14),1),"")</f>
        <v/>
      </c>
      <c r="F46" s="2" t="str">
        <f>IF(Footer[[#This Row],[Column5]]&lt;&gt;"","XXX","")</f>
        <v/>
      </c>
      <c r="G46" s="2" t="str">
        <f>IF(Footer[[#This Row],[Column8]]&lt;&gt;"","message_index","")</f>
        <v/>
      </c>
      <c r="H46" s="4" t="str">
        <f>IF(Footer[[#This Row],[Column5]]&lt;&gt;"",ROW(Footer[[#This Row],[Column5]])-ROW($E$15),"")</f>
        <v/>
      </c>
      <c r="I46" s="2" t="str">
        <f>IF(Footer[[#This Row],[Column8]]&lt;&gt;"","XXX","")</f>
        <v/>
      </c>
      <c r="J46" s="2" t="str">
        <f>IF(Footer[[#This Row],[Column8]]&lt;&gt;"","exercise_category","")</f>
        <v/>
      </c>
      <c r="K46" s="2"/>
      <c r="L46" s="2" t="str">
        <f>IF(Footer[[#This Row],[Column11]]&lt;&gt;"","XXX","")</f>
        <v/>
      </c>
      <c r="M46" s="2" t="str">
        <f>IF(AND(Footer[[#This Row],[Column8]]&lt;&gt;"",Footer[[#This Row],[Column14]]&lt;&gt;""),"exercise_name","")</f>
        <v/>
      </c>
      <c r="N46" s="4" t="str">
        <f>IF(Footer[[#This Row],[Column8]]&lt;&gt;"",IF(VLOOKUP(Footer[[#This Row],[Column5]],Table_Exercises[],3,FALSE)="/","XXX",VLOOKUP(Footer[[#This Row],[Column5]],Table_Exercises[],3,FALSE)),"")</f>
        <v/>
      </c>
      <c r="O46" s="2" t="str">
        <f>IF(Footer[[#This Row],[Column8]]&lt;&gt;"","XXX","")</f>
        <v/>
      </c>
      <c r="P46" s="2" t="str">
        <f>IF(Footer[[#This Row],[Column9]]&lt;&gt;"","XXX","")</f>
        <v/>
      </c>
      <c r="Q46" s="2" t="str">
        <f>IF(Footer[[#This Row],[Column10]]&lt;&gt;"","XXX","")</f>
        <v/>
      </c>
      <c r="R46" s="2" t="str">
        <f>IF(Footer[[#This Row],[Column11]]&lt;&gt;"","XXX","")</f>
        <v/>
      </c>
      <c r="S46" s="2" t="str">
        <f>IF(Footer[[#This Row],[Column12]]&lt;&gt;"","XXX","")</f>
        <v/>
      </c>
      <c r="T46" s="2" t="str">
        <f>IF(Footer[[#This Row],[Column13]]&lt;&gt;"","XXX","")</f>
        <v/>
      </c>
      <c r="U46" s="2" t="str">
        <f>IF(Footer[[#This Row],[Column14]]&lt;&gt;"","XXX","")</f>
        <v/>
      </c>
      <c r="V46" s="2" t="str">
        <f>IF(Footer[[#This Row],[Column15]]&lt;&gt;"","XXX","")</f>
        <v/>
      </c>
      <c r="W46" s="2" t="str">
        <f>IF(Footer[[#This Row],[Column16]]&lt;&gt;"","XXX","")</f>
        <v/>
      </c>
      <c r="X46" s="2" t="str">
        <f>IF(Footer[[#This Row],[Column17]]&lt;&gt;"","XXX","")</f>
        <v/>
      </c>
      <c r="Y46" s="2" t="str">
        <f>IF(Footer[[#This Row],[Column18]]&lt;&gt;"","XXX","")</f>
        <v/>
      </c>
      <c r="Z46" s="2" t="str">
        <f>IF(Footer[[#This Row],[Column19]]&lt;&gt;"","XXX","")</f>
        <v/>
      </c>
      <c r="AA46" s="2" t="str">
        <f>IF(Footer[[#This Row],[Column20]]&lt;&gt;"","XXX","")</f>
        <v/>
      </c>
      <c r="AB46" s="2" t="str">
        <f>IF(Footer[[#This Row],[Column21]]&lt;&gt;"","XXX","")</f>
        <v/>
      </c>
      <c r="AC46" s="2" t="str">
        <f>IF(Footer[[#This Row],[Column22]]&lt;&gt;"","XXX","")</f>
        <v/>
      </c>
      <c r="AD46" s="2" t="str">
        <f>IF(Footer[[#This Row],[Column23]]&lt;&gt;"","XXX","")</f>
        <v/>
      </c>
      <c r="AE46" s="2" t="str">
        <f>IF(Footer[[#This Row],[Column24]]&lt;&gt;"","XXX","")</f>
        <v/>
      </c>
      <c r="AF46" s="2" t="str">
        <f>IF(Footer[[#This Row],[Column25]]&lt;&gt;"","XXX","")</f>
        <v/>
      </c>
      <c r="AG46" s="2" t="str">
        <f>IF(Footer[[#This Row],[Column26]]&lt;&gt;"","XXX","")</f>
        <v/>
      </c>
      <c r="AH46" s="2" t="str">
        <f>IF(Footer[[#This Row],[Column27]]&lt;&gt;"","XXX","")</f>
        <v/>
      </c>
      <c r="AI46" s="2" t="str">
        <f>IF(Footer[[#This Row],[Column28]]&lt;&gt;"","XXX","")</f>
        <v/>
      </c>
      <c r="AJ46" s="2" t="str">
        <f>IF(Footer[[#This Row],[Column29]]&lt;&gt;"","XXX","")</f>
        <v/>
      </c>
      <c r="AK46" s="2" t="str">
        <f>IF(Footer[[#This Row],[Column30]]&lt;&gt;"","XXX","")</f>
        <v/>
      </c>
      <c r="AL46" s="2" t="str">
        <f>IF(Footer[[#This Row],[Column31]]&lt;&gt;"","XXX","")</f>
        <v/>
      </c>
      <c r="AM46" s="2" t="str">
        <f>IF(Footer[[#This Row],[Column32]]&lt;&gt;"","XXX","")</f>
        <v/>
      </c>
      <c r="AN46" s="2" t="str">
        <f>IF(Footer[[#This Row],[Column33]]&lt;&gt;"","XXX","")</f>
        <v/>
      </c>
      <c r="AO46" s="2" t="str">
        <f>IF(Footer[[#This Row],[Column34]]&lt;&gt;"","XXX","")</f>
        <v/>
      </c>
      <c r="AP46" s="2" t="str">
        <f>IF(Footer[[#This Row],[Column35]]&lt;&gt;"","XXX","")</f>
        <v/>
      </c>
      <c r="AQ46" s="2" t="str">
        <f>IF(Footer[[#This Row],[Column36]]&lt;&gt;"","XXX","")</f>
        <v/>
      </c>
      <c r="AR46" s="2" t="str">
        <f>IF(Footer[[#This Row],[Column37]]&lt;&gt;"","XXX","")</f>
        <v/>
      </c>
      <c r="AS46" s="2" t="str">
        <f>IF(Footer[[#This Row],[Column38]]&lt;&gt;"","XXX","")</f>
        <v/>
      </c>
      <c r="AT46" s="2" t="str">
        <f>IF(Footer[[#This Row],[Column39]]&lt;&gt;"","XXX","")</f>
        <v/>
      </c>
      <c r="AU46" s="2" t="str">
        <f>IF(Footer[[#This Row],[Column40]]&lt;&gt;"","XXX","")</f>
        <v/>
      </c>
      <c r="AV46" s="2" t="str">
        <f>IF(Footer[[#This Row],[Column41]]&lt;&gt;"","XXX","")</f>
        <v/>
      </c>
      <c r="AW46" s="6" t="str">
        <f>IF(Footer[[#This Row],[Column42]]&lt;&gt;"","XXX","")</f>
        <v/>
      </c>
      <c r="AX46" s="2" t="str">
        <f>IF(Footer[[#This Row],[Column43]]&lt;&gt;"","XXX","")</f>
        <v/>
      </c>
      <c r="AY46" s="2" t="str">
        <f>IF(Footer[[#This Row],[Column44]]&lt;&gt;"","XXX","")</f>
        <v/>
      </c>
      <c r="AZ46" s="2" t="str">
        <f>IF(Footer[[#This Row],[Column45]]&lt;&gt;"","XXX","")</f>
        <v/>
      </c>
      <c r="BA46" s="2" t="str">
        <f>IF(Footer[[#This Row],[Column46]]&lt;&gt;"","XXX","")</f>
        <v/>
      </c>
      <c r="BB46" s="2" t="str">
        <f>IF(Footer[[#This Row],[Column47]]&lt;&gt;"","XXX","")</f>
        <v/>
      </c>
      <c r="BC46" s="2" t="str">
        <f>IF(Footer[[#This Row],[Column48]]&lt;&gt;"","XXX","")</f>
        <v/>
      </c>
      <c r="BD46" s="2" t="str">
        <f>IF(Footer[[#This Row],[Column49]]&lt;&gt;"","XXX","")</f>
        <v/>
      </c>
      <c r="BE46" s="2" t="str">
        <f>IF(Footer[[#This Row],[Column50]]&lt;&gt;"","XXX","")</f>
        <v/>
      </c>
      <c r="BF46" s="2" t="str">
        <f>IF(Footer[[#This Row],[Column51]]&lt;&gt;"","XXX","")</f>
        <v/>
      </c>
      <c r="BG46" s="2" t="str">
        <f>IF(Footer[[#This Row],[Column52]]&lt;&gt;"","XXX","")</f>
        <v/>
      </c>
      <c r="BH46" s="2" t="str">
        <f>IF(Footer[[#This Row],[Column53]]&lt;&gt;"","XXX","")</f>
        <v/>
      </c>
      <c r="BI46" s="2" t="str">
        <f>IF(Footer[[#This Row],[Column54]]&lt;&gt;"","XXX","")</f>
        <v/>
      </c>
      <c r="BJ46" s="6" t="str">
        <f>IF(Footer[[#This Row],[Column1]]&lt;&gt;"",SUBSTITUTE(_xlfn.TEXTJOIN(",",TRUE,Footer[[#This Row],[Column1]:[Column61]]),"XXX",""),"")</f>
        <v/>
      </c>
    </row>
    <row r="47" spans="1:62" x14ac:dyDescent="0.25">
      <c r="A47" s="2" t="str">
        <f>IF(Footer[[#This Row],[Column8]]&lt;&gt;"","Data","")</f>
        <v/>
      </c>
      <c r="B47" s="2" t="str">
        <f>IF(Footer[[#This Row],[Column8]]&lt;&gt;"","0","")</f>
        <v/>
      </c>
      <c r="C47" s="2" t="str">
        <f>IF(Footer[[#This Row],[Column8]]&lt;&gt;"","exercise_title","")</f>
        <v/>
      </c>
      <c r="D47" s="2" t="str">
        <f>IF(Footer[[#This Row],[Column8]]&lt;&gt;"","wkt_step_name","")</f>
        <v/>
      </c>
      <c r="E47" s="4" t="str" cm="1">
        <f t="array" ref="E47">IFERROR(INDEX(_xlfn.UNIQUE(_xlfn._xlws.FILTER(Data[Exercise],Data[Exercise]&lt;&gt;""),FALSE,FALSE),ROW(Footer[[#This Row],[Column5]])-ROW($E$14),1),"")</f>
        <v/>
      </c>
      <c r="F47" s="2" t="str">
        <f>IF(Footer[[#This Row],[Column5]]&lt;&gt;"","XXX","")</f>
        <v/>
      </c>
      <c r="G47" s="2" t="str">
        <f>IF(Footer[[#This Row],[Column8]]&lt;&gt;"","message_index","")</f>
        <v/>
      </c>
      <c r="H47" s="4" t="str">
        <f>IF(Footer[[#This Row],[Column5]]&lt;&gt;"",ROW(Footer[[#This Row],[Column5]])-ROW($E$15),"")</f>
        <v/>
      </c>
      <c r="I47" s="2" t="str">
        <f>IF(Footer[[#This Row],[Column8]]&lt;&gt;"","XXX","")</f>
        <v/>
      </c>
      <c r="J47" s="2" t="str">
        <f>IF(Footer[[#This Row],[Column8]]&lt;&gt;"","exercise_category","")</f>
        <v/>
      </c>
      <c r="K47" s="2"/>
      <c r="L47" s="2" t="str">
        <f>IF(Footer[[#This Row],[Column11]]&lt;&gt;"","XXX","")</f>
        <v/>
      </c>
      <c r="M47" s="2" t="str">
        <f>IF(AND(Footer[[#This Row],[Column8]]&lt;&gt;"",Footer[[#This Row],[Column14]]&lt;&gt;""),"exercise_name","")</f>
        <v/>
      </c>
      <c r="N47" s="4" t="str">
        <f>IF(Footer[[#This Row],[Column8]]&lt;&gt;"",IF(VLOOKUP(Footer[[#This Row],[Column5]],Table_Exercises[],3,FALSE)="/","XXX",VLOOKUP(Footer[[#This Row],[Column5]],Table_Exercises[],3,FALSE)),"")</f>
        <v/>
      </c>
      <c r="O47" s="2" t="str">
        <f>IF(Footer[[#This Row],[Column8]]&lt;&gt;"","XXX","")</f>
        <v/>
      </c>
      <c r="P47" s="2" t="str">
        <f>IF(Footer[[#This Row],[Column9]]&lt;&gt;"","XXX","")</f>
        <v/>
      </c>
      <c r="Q47" s="2" t="str">
        <f>IF(Footer[[#This Row],[Column10]]&lt;&gt;"","XXX","")</f>
        <v/>
      </c>
      <c r="R47" s="2" t="str">
        <f>IF(Footer[[#This Row],[Column11]]&lt;&gt;"","XXX","")</f>
        <v/>
      </c>
      <c r="S47" s="2" t="str">
        <f>IF(Footer[[#This Row],[Column12]]&lt;&gt;"","XXX","")</f>
        <v/>
      </c>
      <c r="T47" s="2" t="str">
        <f>IF(Footer[[#This Row],[Column13]]&lt;&gt;"","XXX","")</f>
        <v/>
      </c>
      <c r="U47" s="2" t="str">
        <f>IF(Footer[[#This Row],[Column14]]&lt;&gt;"","XXX","")</f>
        <v/>
      </c>
      <c r="V47" s="2" t="str">
        <f>IF(Footer[[#This Row],[Column15]]&lt;&gt;"","XXX","")</f>
        <v/>
      </c>
      <c r="W47" s="2" t="str">
        <f>IF(Footer[[#This Row],[Column16]]&lt;&gt;"","XXX","")</f>
        <v/>
      </c>
      <c r="X47" s="2" t="str">
        <f>IF(Footer[[#This Row],[Column17]]&lt;&gt;"","XXX","")</f>
        <v/>
      </c>
      <c r="Y47" s="2" t="str">
        <f>IF(Footer[[#This Row],[Column18]]&lt;&gt;"","XXX","")</f>
        <v/>
      </c>
      <c r="Z47" s="2" t="str">
        <f>IF(Footer[[#This Row],[Column19]]&lt;&gt;"","XXX","")</f>
        <v/>
      </c>
      <c r="AA47" s="2" t="str">
        <f>IF(Footer[[#This Row],[Column20]]&lt;&gt;"","XXX","")</f>
        <v/>
      </c>
      <c r="AB47" s="2" t="str">
        <f>IF(Footer[[#This Row],[Column21]]&lt;&gt;"","XXX","")</f>
        <v/>
      </c>
      <c r="AC47" s="2" t="str">
        <f>IF(Footer[[#This Row],[Column22]]&lt;&gt;"","XXX","")</f>
        <v/>
      </c>
      <c r="AD47" s="2" t="str">
        <f>IF(Footer[[#This Row],[Column23]]&lt;&gt;"","XXX","")</f>
        <v/>
      </c>
      <c r="AE47" s="2" t="str">
        <f>IF(Footer[[#This Row],[Column24]]&lt;&gt;"","XXX","")</f>
        <v/>
      </c>
      <c r="AF47" s="2" t="str">
        <f>IF(Footer[[#This Row],[Column25]]&lt;&gt;"","XXX","")</f>
        <v/>
      </c>
      <c r="AG47" s="2" t="str">
        <f>IF(Footer[[#This Row],[Column26]]&lt;&gt;"","XXX","")</f>
        <v/>
      </c>
      <c r="AH47" s="2" t="str">
        <f>IF(Footer[[#This Row],[Column27]]&lt;&gt;"","XXX","")</f>
        <v/>
      </c>
      <c r="AI47" s="2" t="str">
        <f>IF(Footer[[#This Row],[Column28]]&lt;&gt;"","XXX","")</f>
        <v/>
      </c>
      <c r="AJ47" s="2" t="str">
        <f>IF(Footer[[#This Row],[Column29]]&lt;&gt;"","XXX","")</f>
        <v/>
      </c>
      <c r="AK47" s="2" t="str">
        <f>IF(Footer[[#This Row],[Column30]]&lt;&gt;"","XXX","")</f>
        <v/>
      </c>
      <c r="AL47" s="2" t="str">
        <f>IF(Footer[[#This Row],[Column31]]&lt;&gt;"","XXX","")</f>
        <v/>
      </c>
      <c r="AM47" s="2" t="str">
        <f>IF(Footer[[#This Row],[Column32]]&lt;&gt;"","XXX","")</f>
        <v/>
      </c>
      <c r="AN47" s="2" t="str">
        <f>IF(Footer[[#This Row],[Column33]]&lt;&gt;"","XXX","")</f>
        <v/>
      </c>
      <c r="AO47" s="2" t="str">
        <f>IF(Footer[[#This Row],[Column34]]&lt;&gt;"","XXX","")</f>
        <v/>
      </c>
      <c r="AP47" s="2" t="str">
        <f>IF(Footer[[#This Row],[Column35]]&lt;&gt;"","XXX","")</f>
        <v/>
      </c>
      <c r="AQ47" s="2" t="str">
        <f>IF(Footer[[#This Row],[Column36]]&lt;&gt;"","XXX","")</f>
        <v/>
      </c>
      <c r="AR47" s="2" t="str">
        <f>IF(Footer[[#This Row],[Column37]]&lt;&gt;"","XXX","")</f>
        <v/>
      </c>
      <c r="AS47" s="2" t="str">
        <f>IF(Footer[[#This Row],[Column38]]&lt;&gt;"","XXX","")</f>
        <v/>
      </c>
      <c r="AT47" s="2" t="str">
        <f>IF(Footer[[#This Row],[Column39]]&lt;&gt;"","XXX","")</f>
        <v/>
      </c>
      <c r="AU47" s="2" t="str">
        <f>IF(Footer[[#This Row],[Column40]]&lt;&gt;"","XXX","")</f>
        <v/>
      </c>
      <c r="AV47" s="2" t="str">
        <f>IF(Footer[[#This Row],[Column41]]&lt;&gt;"","XXX","")</f>
        <v/>
      </c>
      <c r="AW47" s="6" t="str">
        <f>IF(Footer[[#This Row],[Column42]]&lt;&gt;"","XXX","")</f>
        <v/>
      </c>
      <c r="AX47" s="2" t="str">
        <f>IF(Footer[[#This Row],[Column43]]&lt;&gt;"","XXX","")</f>
        <v/>
      </c>
      <c r="AY47" s="2" t="str">
        <f>IF(Footer[[#This Row],[Column44]]&lt;&gt;"","XXX","")</f>
        <v/>
      </c>
      <c r="AZ47" s="2" t="str">
        <f>IF(Footer[[#This Row],[Column45]]&lt;&gt;"","XXX","")</f>
        <v/>
      </c>
      <c r="BA47" s="2" t="str">
        <f>IF(Footer[[#This Row],[Column46]]&lt;&gt;"","XXX","")</f>
        <v/>
      </c>
      <c r="BB47" s="2" t="str">
        <f>IF(Footer[[#This Row],[Column47]]&lt;&gt;"","XXX","")</f>
        <v/>
      </c>
      <c r="BC47" s="2" t="str">
        <f>IF(Footer[[#This Row],[Column48]]&lt;&gt;"","XXX","")</f>
        <v/>
      </c>
      <c r="BD47" s="2" t="str">
        <f>IF(Footer[[#This Row],[Column49]]&lt;&gt;"","XXX","")</f>
        <v/>
      </c>
      <c r="BE47" s="2" t="str">
        <f>IF(Footer[[#This Row],[Column50]]&lt;&gt;"","XXX","")</f>
        <v/>
      </c>
      <c r="BF47" s="2" t="str">
        <f>IF(Footer[[#This Row],[Column51]]&lt;&gt;"","XXX","")</f>
        <v/>
      </c>
      <c r="BG47" s="2" t="str">
        <f>IF(Footer[[#This Row],[Column52]]&lt;&gt;"","XXX","")</f>
        <v/>
      </c>
      <c r="BH47" s="2" t="str">
        <f>IF(Footer[[#This Row],[Column53]]&lt;&gt;"","XXX","")</f>
        <v/>
      </c>
      <c r="BI47" s="2" t="str">
        <f>IF(Footer[[#This Row],[Column54]]&lt;&gt;"","XXX","")</f>
        <v/>
      </c>
      <c r="BJ47" s="6" t="str">
        <f>IF(Footer[[#This Row],[Column1]]&lt;&gt;"",SUBSTITUTE(_xlfn.TEXTJOIN(",",TRUE,Footer[[#This Row],[Column1]:[Column61]]),"XXX",""),"")</f>
        <v/>
      </c>
    </row>
  </sheetData>
  <phoneticPr fontId="18" type="noConversion"/>
  <pageMargins left="0.7" right="0.7" top="0.75" bottom="0.75" header="0.3" footer="0.3"/>
  <tableParts count="2">
    <tablePart r:id="rId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
  <sheetViews>
    <sheetView workbookViewId="0">
      <selection activeCell="Q25" sqref="Q25"/>
    </sheetView>
  </sheetViews>
  <sheetFormatPr defaultRowHeight="15" x14ac:dyDescent="0.25"/>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O18"/>
  <sheetViews>
    <sheetView topLeftCell="E1" workbookViewId="0">
      <selection activeCell="M16" sqref="M16"/>
    </sheetView>
  </sheetViews>
  <sheetFormatPr defaultRowHeight="15" x14ac:dyDescent="0.25"/>
  <cols>
    <col min="1" max="1" width="21.28515625" style="2" customWidth="1"/>
    <col min="2" max="2" width="23.85546875" bestFit="1" customWidth="1"/>
    <col min="3" max="3" width="19" style="2" bestFit="1" customWidth="1"/>
    <col min="6" max="6" width="16.7109375" customWidth="1"/>
    <col min="7" max="7" width="16.5703125" customWidth="1"/>
    <col min="9" max="9" width="21.85546875" style="2" bestFit="1" customWidth="1"/>
    <col min="10" max="10" width="19" customWidth="1"/>
    <col min="11" max="11" width="20.42578125" bestFit="1" customWidth="1"/>
    <col min="13" max="13" width="31.28515625" style="2" bestFit="1" customWidth="1"/>
    <col min="14" max="14" width="21.85546875" style="1" bestFit="1" customWidth="1"/>
    <col min="15" max="15" width="19.140625" style="1" bestFit="1" customWidth="1"/>
  </cols>
  <sheetData>
    <row r="1" spans="1:15" x14ac:dyDescent="0.25">
      <c r="A1" s="3" t="s">
        <v>72</v>
      </c>
      <c r="B1" s="3" t="s">
        <v>71</v>
      </c>
      <c r="C1" s="3" t="s">
        <v>60</v>
      </c>
      <c r="D1" s="3" t="s">
        <v>112</v>
      </c>
      <c r="F1" s="3" t="s">
        <v>73</v>
      </c>
      <c r="G1" s="3" t="s">
        <v>74</v>
      </c>
      <c r="I1" s="2" t="s">
        <v>84</v>
      </c>
      <c r="J1" t="s">
        <v>85</v>
      </c>
      <c r="K1" t="s">
        <v>111</v>
      </c>
      <c r="M1" s="24" t="s">
        <v>104</v>
      </c>
      <c r="N1" s="24" t="s">
        <v>89</v>
      </c>
      <c r="O1" s="24" t="s">
        <v>93</v>
      </c>
    </row>
    <row r="2" spans="1:15" x14ac:dyDescent="0.25">
      <c r="A2" s="2" t="s">
        <v>61</v>
      </c>
      <c r="B2" s="2">
        <v>0</v>
      </c>
      <c r="C2" s="2" t="s">
        <v>44</v>
      </c>
      <c r="D2" s="2" t="s">
        <v>45</v>
      </c>
      <c r="F2" s="2" t="s">
        <v>64</v>
      </c>
      <c r="G2" s="2">
        <v>0</v>
      </c>
      <c r="J2" s="2">
        <v>0</v>
      </c>
      <c r="K2" s="2"/>
      <c r="M2" s="2" t="s">
        <v>113</v>
      </c>
      <c r="N2" s="1">
        <v>23</v>
      </c>
      <c r="O2" s="1">
        <v>34</v>
      </c>
    </row>
    <row r="3" spans="1:15" x14ac:dyDescent="0.25">
      <c r="A3" s="2" t="s">
        <v>70</v>
      </c>
      <c r="B3" s="2">
        <v>1</v>
      </c>
      <c r="C3" s="2" t="s">
        <v>46</v>
      </c>
      <c r="D3" s="2" t="s">
        <v>47</v>
      </c>
      <c r="F3" s="2" t="s">
        <v>65</v>
      </c>
      <c r="G3" s="2">
        <v>1</v>
      </c>
      <c r="J3" s="2">
        <v>1</v>
      </c>
      <c r="K3" s="2"/>
      <c r="M3" s="2" t="s">
        <v>245</v>
      </c>
      <c r="N3" s="1">
        <v>0</v>
      </c>
      <c r="O3" s="1">
        <v>6</v>
      </c>
    </row>
    <row r="4" spans="1:15" x14ac:dyDescent="0.25">
      <c r="A4" s="2" t="s">
        <v>77</v>
      </c>
      <c r="B4" s="2">
        <v>2</v>
      </c>
      <c r="C4" s="2" t="s">
        <v>48</v>
      </c>
      <c r="D4" s="2" t="s">
        <v>49</v>
      </c>
      <c r="F4" s="2" t="s">
        <v>105</v>
      </c>
      <c r="G4" s="2">
        <v>2</v>
      </c>
      <c r="I4" s="2" t="s">
        <v>108</v>
      </c>
      <c r="J4" s="2">
        <v>2</v>
      </c>
      <c r="K4" s="2" t="s">
        <v>42</v>
      </c>
      <c r="M4" s="2" t="s">
        <v>116</v>
      </c>
      <c r="N4" s="1">
        <v>7</v>
      </c>
      <c r="O4" s="1">
        <v>16</v>
      </c>
    </row>
    <row r="5" spans="1:15" x14ac:dyDescent="0.25">
      <c r="A5" s="2" t="s">
        <v>78</v>
      </c>
      <c r="B5" s="2">
        <v>3</v>
      </c>
      <c r="C5" s="2" t="s">
        <v>48</v>
      </c>
      <c r="D5" s="2" t="s">
        <v>49</v>
      </c>
      <c r="F5" s="2" t="s">
        <v>66</v>
      </c>
      <c r="G5" s="2">
        <v>3</v>
      </c>
      <c r="J5" s="2">
        <v>3</v>
      </c>
      <c r="K5" s="2"/>
      <c r="M5" s="2" t="s">
        <v>246</v>
      </c>
      <c r="N5" s="1">
        <v>30</v>
      </c>
      <c r="O5" s="1">
        <v>6</v>
      </c>
    </row>
    <row r="6" spans="1:15" x14ac:dyDescent="0.25">
      <c r="A6" s="2" t="s">
        <v>75</v>
      </c>
      <c r="B6" s="2">
        <v>4</v>
      </c>
      <c r="C6" s="2" t="s">
        <v>76</v>
      </c>
      <c r="D6" s="2"/>
      <c r="F6" s="2" t="s">
        <v>67</v>
      </c>
      <c r="G6" s="2">
        <v>4</v>
      </c>
      <c r="J6" s="2">
        <v>4</v>
      </c>
      <c r="K6" s="2"/>
      <c r="M6" s="2" t="s">
        <v>115</v>
      </c>
      <c r="N6" s="1">
        <v>30</v>
      </c>
      <c r="O6" s="1">
        <v>7</v>
      </c>
    </row>
    <row r="7" spans="1:15" x14ac:dyDescent="0.25">
      <c r="A7" s="2" t="s">
        <v>79</v>
      </c>
      <c r="B7" s="2">
        <v>5</v>
      </c>
      <c r="C7" s="2" t="s">
        <v>110</v>
      </c>
      <c r="D7" s="2" t="s">
        <v>110</v>
      </c>
      <c r="F7" s="2" t="s">
        <v>68</v>
      </c>
      <c r="G7" s="2">
        <v>5</v>
      </c>
      <c r="M7" s="2" t="s">
        <v>248</v>
      </c>
      <c r="N7" s="1">
        <v>28</v>
      </c>
      <c r="O7" s="1">
        <v>37</v>
      </c>
    </row>
    <row r="8" spans="1:15" x14ac:dyDescent="0.25">
      <c r="A8" s="2" t="s">
        <v>62</v>
      </c>
      <c r="B8" s="2">
        <v>29</v>
      </c>
      <c r="C8" s="2" t="s">
        <v>63</v>
      </c>
      <c r="D8" s="2" t="s">
        <v>110</v>
      </c>
      <c r="F8" s="2" t="s">
        <v>69</v>
      </c>
      <c r="G8" s="2">
        <v>6</v>
      </c>
      <c r="M8" s="2" t="s">
        <v>114</v>
      </c>
      <c r="N8" s="1">
        <v>9</v>
      </c>
      <c r="O8" s="1">
        <v>11</v>
      </c>
    </row>
    <row r="9" spans="1:15" x14ac:dyDescent="0.25">
      <c r="M9" s="2" t="s">
        <v>251</v>
      </c>
      <c r="N9" s="1">
        <v>30</v>
      </c>
      <c r="O9" s="1">
        <v>12</v>
      </c>
    </row>
    <row r="10" spans="1:15" x14ac:dyDescent="0.25">
      <c r="M10" s="2" t="s">
        <v>119</v>
      </c>
      <c r="N10" s="1">
        <v>25</v>
      </c>
      <c r="O10" s="1">
        <v>22</v>
      </c>
    </row>
    <row r="11" spans="1:15" x14ac:dyDescent="0.25">
      <c r="M11" s="2" t="s">
        <v>250</v>
      </c>
      <c r="N11" s="1">
        <v>19</v>
      </c>
      <c r="O11" s="1" t="s">
        <v>110</v>
      </c>
    </row>
    <row r="12" spans="1:15" x14ac:dyDescent="0.25">
      <c r="M12" s="2" t="s">
        <v>247</v>
      </c>
      <c r="N12" s="1">
        <v>7</v>
      </c>
      <c r="O12" s="1">
        <v>32</v>
      </c>
    </row>
    <row r="13" spans="1:15" x14ac:dyDescent="0.25">
      <c r="M13" s="2" t="s">
        <v>249</v>
      </c>
      <c r="N13" s="1">
        <v>14</v>
      </c>
      <c r="O13" s="1">
        <v>24</v>
      </c>
    </row>
    <row r="14" spans="1:15" x14ac:dyDescent="0.25">
      <c r="M14" s="2" t="s">
        <v>118</v>
      </c>
      <c r="N14" s="1">
        <v>19</v>
      </c>
      <c r="O14" s="1">
        <v>66</v>
      </c>
    </row>
    <row r="15" spans="1:15" x14ac:dyDescent="0.25">
      <c r="M15" s="2" t="s">
        <v>244</v>
      </c>
      <c r="N15" s="1">
        <v>1</v>
      </c>
      <c r="O15" s="1">
        <v>16</v>
      </c>
    </row>
    <row r="16" spans="1:15" x14ac:dyDescent="0.25">
      <c r="M16" s="2" t="s">
        <v>117</v>
      </c>
      <c r="N16" s="1">
        <v>17</v>
      </c>
      <c r="O16" s="1">
        <v>78</v>
      </c>
    </row>
    <row r="17" spans="13:15" x14ac:dyDescent="0.25">
      <c r="M17" s="2" t="s">
        <v>105</v>
      </c>
      <c r="N17" s="2">
        <v>31</v>
      </c>
      <c r="O17" s="1" t="s">
        <v>110</v>
      </c>
    </row>
    <row r="18" spans="13:15" x14ac:dyDescent="0.25">
      <c r="M18" s="2" t="s">
        <v>107</v>
      </c>
      <c r="N18" s="1">
        <v>22</v>
      </c>
      <c r="O18" s="1">
        <v>69</v>
      </c>
    </row>
  </sheetData>
  <pageMargins left="0.7" right="0.7" top="0.75" bottom="0.75" header="0.3" footer="0.3"/>
  <tableParts count="4">
    <tablePart r:id="rId1"/>
    <tablePart r:id="rId2"/>
    <tablePart r:id="rId3"/>
    <tablePart r:id="rId4"/>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Data Input</vt:lpstr>
      <vt:lpstr>HeaderFooter Tables</vt:lpstr>
      <vt:lpstr>Output</vt:lpstr>
      <vt:lpstr>Reference Lists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Daniel Vitanza</dc:creator>
  <cp:lastModifiedBy>Daniel Vitanza</cp:lastModifiedBy>
  <dcterms:created xsi:type="dcterms:W3CDTF">2023-05-05T17:55:03Z</dcterms:created>
  <dcterms:modified xsi:type="dcterms:W3CDTF">2023-05-22T16:16:47Z</dcterms:modified>
</cp:coreProperties>
</file>